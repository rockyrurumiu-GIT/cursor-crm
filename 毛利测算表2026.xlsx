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820"/>
  </bookViews>
  <sheets>
    <sheet name="上海入项审批测算表 2603M" sheetId="2" r:id="rId1"/>
    <sheet name="配置项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wingtech</author>
  </authors>
  <commentList>
    <comment ref="T3" authorId="0">
      <text>
        <r>
          <rPr>
            <sz val="9"/>
            <rFont val="宋体"/>
            <charset val="134"/>
          </rPr>
          <t xml:space="preserve">项目配置有特殊要求请特别说明
</t>
        </r>
      </text>
    </comment>
    <comment ref="X3" authorId="0">
      <text>
        <r>
          <rPr>
            <sz val="9"/>
            <rFont val="宋体"/>
            <charset val="134"/>
          </rPr>
          <t xml:space="preserve">成本看板以外的平台抽成费率，服务费等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<sst xmlns="http://schemas.openxmlformats.org/spreadsheetml/2006/main" count="333" uniqueCount="209">
  <si>
    <t>毛利率预测表</t>
  </si>
  <si>
    <t>直接成本</t>
  </si>
  <si>
    <t>入项信息</t>
  </si>
  <si>
    <t>转正月薪</t>
  </si>
  <si>
    <t>税费</t>
  </si>
  <si>
    <t>年终奖</t>
  </si>
  <si>
    <t>社保</t>
  </si>
  <si>
    <t>公积金</t>
  </si>
  <si>
    <t>福利</t>
  </si>
  <si>
    <t>电脑折旧</t>
  </si>
  <si>
    <t>年假</t>
  </si>
  <si>
    <t>招聘成本</t>
  </si>
  <si>
    <t>资金成本</t>
  </si>
  <si>
    <t>其他成本</t>
  </si>
  <si>
    <t>成本合计</t>
  </si>
  <si>
    <t>毛利额</t>
  </si>
  <si>
    <t>毛利率</t>
  </si>
  <si>
    <t>项目性质</t>
  </si>
  <si>
    <t>入项提示</t>
  </si>
  <si>
    <t>薪资结算比</t>
  </si>
  <si>
    <t>离职状态</t>
  </si>
  <si>
    <t>离职日期</t>
  </si>
  <si>
    <t>备注</t>
  </si>
  <si>
    <t>所属部门</t>
  </si>
  <si>
    <t>对应销售</t>
  </si>
  <si>
    <t>对应交付</t>
  </si>
  <si>
    <t>姓名</t>
  </si>
  <si>
    <t>入职时间</t>
  </si>
  <si>
    <t>签署合同</t>
  </si>
  <si>
    <t>客户</t>
  </si>
  <si>
    <t>岗位</t>
  </si>
  <si>
    <t>回款周期</t>
  </si>
  <si>
    <t>职级</t>
  </si>
  <si>
    <t>参保地</t>
  </si>
  <si>
    <t>月报价</t>
  </si>
  <si>
    <t>月报价
（不含税）</t>
  </si>
  <si>
    <t>月薪（元）</t>
  </si>
  <si>
    <t>专票</t>
  </si>
  <si>
    <t>最低基数</t>
  </si>
  <si>
    <t>平均成本</t>
  </si>
  <si>
    <t>公司承担填写</t>
  </si>
  <si>
    <t>公司承担</t>
  </si>
  <si>
    <t>自招</t>
  </si>
  <si>
    <t>事业一部</t>
  </si>
  <si>
    <t>陶声铖</t>
  </si>
  <si>
    <t>吴国阳</t>
  </si>
  <si>
    <t>李**</t>
  </si>
  <si>
    <t>***</t>
  </si>
  <si>
    <t>海橘外部</t>
  </si>
  <si>
    <t>龙旗</t>
  </si>
  <si>
    <t>BSP驱动工程师</t>
  </si>
  <si>
    <t>季度</t>
  </si>
  <si>
    <t>中级</t>
  </si>
  <si>
    <t>武汉</t>
  </si>
  <si>
    <t>ITO</t>
  </si>
  <si>
    <t>事业三部</t>
  </si>
  <si>
    <t>汤文杰</t>
  </si>
  <si>
    <t>方龙翔</t>
  </si>
  <si>
    <t>张**</t>
  </si>
  <si>
    <t>诗悦</t>
  </si>
  <si>
    <t>camera tuning工程师</t>
  </si>
  <si>
    <t>上海</t>
  </si>
  <si>
    <t>事业六部</t>
  </si>
  <si>
    <t>陈搏</t>
  </si>
  <si>
    <t>聂岑楠</t>
  </si>
  <si>
    <t>苏**</t>
  </si>
  <si>
    <t>上海海橘</t>
  </si>
  <si>
    <t>小米</t>
  </si>
  <si>
    <t>路测驾驶员</t>
  </si>
  <si>
    <t>无</t>
  </si>
  <si>
    <t>BPO</t>
  </si>
  <si>
    <t>社保缴纳地</t>
  </si>
  <si>
    <t>不缴纳</t>
  </si>
  <si>
    <t>最低社保</t>
  </si>
  <si>
    <t>最低公积金</t>
  </si>
  <si>
    <t>级别</t>
  </si>
  <si>
    <t>回款方式</t>
  </si>
  <si>
    <t>资金费率</t>
  </si>
  <si>
    <t>助理</t>
  </si>
  <si>
    <t>月度</t>
  </si>
  <si>
    <t>安硕</t>
  </si>
  <si>
    <t>半年度</t>
  </si>
  <si>
    <t>南京</t>
  </si>
  <si>
    <t>初级</t>
  </si>
  <si>
    <t>双月</t>
  </si>
  <si>
    <t>禾苗</t>
  </si>
  <si>
    <t>宁波</t>
  </si>
  <si>
    <t>吉利</t>
  </si>
  <si>
    <t>北京</t>
  </si>
  <si>
    <t>中高级</t>
  </si>
  <si>
    <t>立讯</t>
  </si>
  <si>
    <t>深圳</t>
  </si>
  <si>
    <t>高级</t>
  </si>
  <si>
    <t>年度</t>
  </si>
  <si>
    <t>东莞</t>
  </si>
  <si>
    <t>资深</t>
  </si>
  <si>
    <t>华勤</t>
  </si>
  <si>
    <t>常州</t>
  </si>
  <si>
    <t>专家</t>
  </si>
  <si>
    <t>宝马</t>
  </si>
  <si>
    <t>苏州</t>
  </si>
  <si>
    <t>京东方</t>
  </si>
  <si>
    <t>无锡</t>
  </si>
  <si>
    <t>美格</t>
  </si>
  <si>
    <t>西安</t>
  </si>
  <si>
    <t>中信信诚</t>
  </si>
  <si>
    <t>合肥</t>
  </si>
  <si>
    <t>北京银行</t>
  </si>
  <si>
    <t>星思半导体</t>
  </si>
  <si>
    <t>长沙</t>
  </si>
  <si>
    <t>太平人寿</t>
  </si>
  <si>
    <t>大连</t>
  </si>
  <si>
    <t>四维图新</t>
  </si>
  <si>
    <t>沈阳</t>
  </si>
  <si>
    <t>车联天下</t>
  </si>
  <si>
    <t>福州</t>
  </si>
  <si>
    <t>弋途科技</t>
  </si>
  <si>
    <t>南昌</t>
  </si>
  <si>
    <t>奋达</t>
  </si>
  <si>
    <t>惠州</t>
  </si>
  <si>
    <t>萨摩耶</t>
  </si>
  <si>
    <t>温州</t>
  </si>
  <si>
    <t>中诺</t>
  </si>
  <si>
    <t>杭州</t>
  </si>
  <si>
    <t>中汽研</t>
  </si>
  <si>
    <t>嘉兴</t>
  </si>
  <si>
    <t>证券信托</t>
  </si>
  <si>
    <t>保定</t>
  </si>
  <si>
    <t>海港人寿</t>
  </si>
  <si>
    <t>太原</t>
  </si>
  <si>
    <t>依图</t>
  </si>
  <si>
    <t>成都</t>
  </si>
  <si>
    <t>华域视觉</t>
  </si>
  <si>
    <t>郑州</t>
  </si>
  <si>
    <t>电信天翼云</t>
  </si>
  <si>
    <t>昆明</t>
  </si>
  <si>
    <t>银联</t>
  </si>
  <si>
    <t>厦门</t>
  </si>
  <si>
    <t>祥承</t>
  </si>
  <si>
    <t>广州</t>
  </si>
  <si>
    <t>中保科联</t>
  </si>
  <si>
    <t>重庆</t>
  </si>
  <si>
    <t>车凌</t>
  </si>
  <si>
    <t>芜湖</t>
  </si>
  <si>
    <t>贵阳</t>
  </si>
  <si>
    <t>美年大健康</t>
  </si>
  <si>
    <t>泸州</t>
  </si>
  <si>
    <t>雄狮</t>
  </si>
  <si>
    <t>龙岩</t>
  </si>
  <si>
    <t>厦门公安</t>
  </si>
  <si>
    <t>聊城</t>
  </si>
  <si>
    <t>灵伴智能</t>
  </si>
  <si>
    <t>天津</t>
  </si>
  <si>
    <t>魔视智能</t>
  </si>
  <si>
    <t>乌鲁木齐</t>
  </si>
  <si>
    <t>博泰</t>
  </si>
  <si>
    <t>衡阳</t>
  </si>
  <si>
    <t>叠纸</t>
  </si>
  <si>
    <t>柳州</t>
  </si>
  <si>
    <t>袋鼠云</t>
  </si>
  <si>
    <t>青岛</t>
  </si>
  <si>
    <t>歌尔</t>
  </si>
  <si>
    <t>汉中</t>
  </si>
  <si>
    <t>搜狐畅游</t>
  </si>
  <si>
    <t>运城</t>
  </si>
  <si>
    <t>远景</t>
  </si>
  <si>
    <t>黄石</t>
  </si>
  <si>
    <t>华发数智</t>
  </si>
  <si>
    <t>河源</t>
  </si>
  <si>
    <t>upsoft</t>
  </si>
  <si>
    <t>珠海</t>
  </si>
  <si>
    <t>潍坊</t>
  </si>
  <si>
    <t>帷幄</t>
  </si>
  <si>
    <t>哈尔滨</t>
  </si>
  <si>
    <t>蛮啾</t>
  </si>
  <si>
    <t>长春</t>
  </si>
  <si>
    <t>喜马拉雅</t>
  </si>
  <si>
    <t>中山</t>
  </si>
  <si>
    <t>字节</t>
  </si>
  <si>
    <t>江门</t>
  </si>
  <si>
    <t>合全药业</t>
  </si>
  <si>
    <t>KPIT</t>
  </si>
  <si>
    <t>实习生</t>
  </si>
  <si>
    <t>金脉电子</t>
  </si>
  <si>
    <t>速游</t>
  </si>
  <si>
    <t>思昇</t>
  </si>
  <si>
    <t>沐瞳科技</t>
  </si>
  <si>
    <t>不鸣科技</t>
  </si>
  <si>
    <t>社保及公积金规则：</t>
  </si>
  <si>
    <t>天珑</t>
  </si>
  <si>
    <t>（1）最低基数时，根据缴纳地查找金额</t>
  </si>
  <si>
    <t>源卓微纳</t>
  </si>
  <si>
    <t>（2）不缴纳和实习生，暂时为0，待最新社保公积金政策出具时添加。</t>
  </si>
  <si>
    <t>元枢智汇</t>
  </si>
  <si>
    <t>（3）社保数据季度人事部更新一版同步运营、销售、交付。</t>
  </si>
  <si>
    <t>NXP</t>
  </si>
  <si>
    <t>欢乐互娱</t>
  </si>
  <si>
    <t>标准毛利率制定牵动，规则以下一刀切</t>
  </si>
  <si>
    <t>奇瑞</t>
  </si>
  <si>
    <t>点点互动</t>
  </si>
  <si>
    <t>豫北转向</t>
  </si>
  <si>
    <t>飞书深诺</t>
  </si>
  <si>
    <t>宣禾</t>
  </si>
  <si>
    <t>西山居</t>
  </si>
  <si>
    <t>博世</t>
  </si>
  <si>
    <t>小度</t>
  </si>
  <si>
    <t>巨人网络</t>
  </si>
  <si>
    <t>上纬新材</t>
  </si>
  <si>
    <t>波克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</si>
</sst>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%"/>
    <numFmt numFmtId="178" formatCode="yyyy/m/d;@"/>
    <numFmt numFmtId="179" formatCode="[$-14009]yyyy/mm/dd;@"/>
    <numFmt numFmtId="180" formatCode="yyyy&quot;年&quot;m&quot;月&quot;d&quot;日&quot;;@"/>
  </numFmts>
  <fonts count="3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24"/>
      <color theme="1"/>
      <name val="微软雅黑"/>
      <charset val="134"/>
    </font>
    <font>
      <sz val="24"/>
      <color theme="1"/>
      <name val="微软雅黑"/>
      <charset val="134"/>
    </font>
    <font>
      <sz val="12"/>
      <color indexed="8"/>
      <name val="宋体"/>
      <charset val="134"/>
    </font>
    <font>
      <sz val="12"/>
      <color theme="1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7" borderId="5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6">
      <alignment vertical="center"/>
    </xf>
    <xf numFmtId="0" fontId="19" fillId="0" borderId="6">
      <alignment vertical="center"/>
    </xf>
    <xf numFmtId="0" fontId="20" fillId="0" borderId="7">
      <alignment vertical="center"/>
    </xf>
    <xf numFmtId="0" fontId="20" fillId="0" borderId="0">
      <alignment vertical="center"/>
    </xf>
    <xf numFmtId="0" fontId="21" fillId="8" borderId="8">
      <alignment vertical="center"/>
    </xf>
    <xf numFmtId="0" fontId="22" fillId="9" borderId="9">
      <alignment vertical="center"/>
    </xf>
    <xf numFmtId="0" fontId="23" fillId="9" borderId="8">
      <alignment vertical="center"/>
    </xf>
    <xf numFmtId="0" fontId="24" fillId="10" borderId="10">
      <alignment vertical="center"/>
    </xf>
    <xf numFmtId="0" fontId="25" fillId="0" borderId="11">
      <alignment vertical="center"/>
    </xf>
    <xf numFmtId="0" fontId="26" fillId="0" borderId="12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9" fillId="13" borderId="0">
      <alignment vertical="center"/>
    </xf>
    <xf numFmtId="0" fontId="30" fillId="14" borderId="0">
      <alignment vertical="center"/>
    </xf>
    <xf numFmtId="0" fontId="31" fillId="15" borderId="0">
      <alignment vertical="center"/>
    </xf>
    <xf numFmtId="0" fontId="31" fillId="16" borderId="0">
      <alignment vertical="center"/>
    </xf>
    <xf numFmtId="0" fontId="30" fillId="17" borderId="0">
      <alignment vertical="center"/>
    </xf>
    <xf numFmtId="0" fontId="30" fillId="18" borderId="0">
      <alignment vertical="center"/>
    </xf>
    <xf numFmtId="0" fontId="31" fillId="19" borderId="0">
      <alignment vertical="center"/>
    </xf>
    <xf numFmtId="0" fontId="31" fillId="20" borderId="0">
      <alignment vertical="center"/>
    </xf>
    <xf numFmtId="0" fontId="30" fillId="21" borderId="0">
      <alignment vertical="center"/>
    </xf>
    <xf numFmtId="0" fontId="30" fillId="3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0" fillId="36" borderId="0">
      <alignment vertical="center"/>
    </xf>
    <xf numFmtId="0" fontId="0" fillId="0" borderId="0"/>
  </cellStyleXfs>
  <cellXfs count="80">
    <xf numFmtId="0" fontId="0" fillId="0" borderId="0" xfId="0" applyAlignment="1">
      <alignment vertical="center"/>
    </xf>
    <xf numFmtId="0" fontId="0" fillId="0" borderId="0" xfId="0" applyFill="1" applyAlignment="1" applyProtection="1">
      <alignment horizontal="center" vertical="center"/>
      <protection hidden="1"/>
    </xf>
    <xf numFmtId="0" fontId="0" fillId="0" borderId="0" xfId="0" applyFill="1" applyAlignment="1" applyProtection="1">
      <alignment vertical="center"/>
      <protection hidden="1"/>
    </xf>
    <xf numFmtId="176" fontId="0" fillId="0" borderId="0" xfId="0" applyNumberFormat="1" applyFill="1" applyAlignment="1" applyProtection="1">
      <alignment vertical="center"/>
      <protection hidden="1"/>
    </xf>
    <xf numFmtId="0" fontId="0" fillId="0" borderId="0" xfId="0" applyFill="1" applyAlignment="1" applyProtection="1">
      <alignment horizontal="left" vertical="center"/>
      <protection hidden="1"/>
    </xf>
    <xf numFmtId="177" fontId="0" fillId="0" borderId="0" xfId="0" applyNumberFormat="1" applyFill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1" fillId="2" borderId="1" xfId="49" applyFont="1" applyFill="1" applyBorder="1" applyAlignment="1" applyProtection="1">
      <alignment horizontal="center" vertical="center"/>
      <protection hidden="1"/>
    </xf>
    <xf numFmtId="176" fontId="1" fillId="2" borderId="1" xfId="49" applyNumberFormat="1" applyFont="1" applyFill="1" applyBorder="1" applyAlignment="1" applyProtection="1">
      <alignment horizontal="center" vertical="center"/>
      <protection hidden="1"/>
    </xf>
    <xf numFmtId="0" fontId="2" fillId="0" borderId="1" xfId="49" applyFont="1" applyBorder="1" applyAlignment="1" applyProtection="1">
      <alignment vertical="center"/>
      <protection hidden="1"/>
    </xf>
    <xf numFmtId="0" fontId="1" fillId="0" borderId="1" xfId="49" applyFont="1" applyBorder="1" applyAlignment="1" applyProtection="1">
      <alignment horizontal="center" vertical="center"/>
      <protection hidden="1"/>
    </xf>
    <xf numFmtId="176" fontId="2" fillId="0" borderId="1" xfId="49" applyNumberFormat="1" applyFont="1" applyFill="1" applyBorder="1" applyAlignment="1" applyProtection="1">
      <alignment horizontal="center" vertical="center"/>
      <protection hidden="1"/>
    </xf>
    <xf numFmtId="176" fontId="1" fillId="0" borderId="1" xfId="49" applyNumberFormat="1" applyFont="1" applyFill="1" applyBorder="1" applyAlignment="1" applyProtection="1">
      <alignment horizontal="center" vertical="center"/>
      <protection hidden="1"/>
    </xf>
    <xf numFmtId="0" fontId="2" fillId="0" borderId="1" xfId="49" applyFont="1" applyFill="1" applyBorder="1" applyAlignment="1" applyProtection="1">
      <alignment vertical="center"/>
      <protection hidden="1"/>
    </xf>
    <xf numFmtId="0" fontId="1" fillId="0" borderId="1" xfId="49" applyFont="1" applyFill="1" applyBorder="1" applyAlignment="1" applyProtection="1">
      <alignment horizontal="center" vertical="center"/>
      <protection hidden="1"/>
    </xf>
    <xf numFmtId="0" fontId="2" fillId="0" borderId="1" xfId="0" applyFont="1" applyFill="1" applyBorder="1" applyAlignment="1" applyProtection="1">
      <alignment vertical="center"/>
      <protection hidden="1"/>
    </xf>
    <xf numFmtId="0" fontId="1" fillId="0" borderId="0" xfId="49" applyFont="1" applyAlignment="1" applyProtection="1">
      <alignment vertical="center"/>
      <protection hidden="1"/>
    </xf>
    <xf numFmtId="38" fontId="3" fillId="0" borderId="0" xfId="0" applyNumberFormat="1" applyFont="1" applyFill="1" applyAlignment="1" applyProtection="1">
      <alignment horizontal="left" vertical="center" wrapText="1"/>
      <protection locked="0"/>
    </xf>
    <xf numFmtId="38" fontId="3" fillId="0" borderId="0" xfId="0" applyNumberFormat="1" applyFont="1" applyFill="1" applyAlignment="1" applyProtection="1">
      <alignment horizontal="left" vertical="center"/>
      <protection locked="0"/>
    </xf>
    <xf numFmtId="0" fontId="0" fillId="2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9" fontId="0" fillId="0" borderId="0" xfId="3" applyNumberFormat="1" applyAlignment="1" applyProtection="1">
      <alignment vertical="center"/>
      <protection hidden="1"/>
    </xf>
    <xf numFmtId="0" fontId="0" fillId="0" borderId="1" xfId="0" applyFill="1" applyBorder="1" applyAlignment="1" applyProtection="1">
      <alignment horizontal="left" vertical="center"/>
      <protection hidden="1"/>
    </xf>
    <xf numFmtId="0" fontId="0" fillId="0" borderId="1" xfId="0" applyFill="1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/>
      <protection hidden="1"/>
    </xf>
    <xf numFmtId="177" fontId="0" fillId="3" borderId="1" xfId="0" applyNumberFormat="1" applyFill="1" applyBorder="1" applyAlignment="1" applyProtection="1">
      <alignment horizontal="center" vertical="center"/>
      <protection hidden="1"/>
    </xf>
    <xf numFmtId="177" fontId="0" fillId="0" borderId="1" xfId="3" applyNumberFormat="1" applyFont="1" applyFill="1" applyBorder="1" applyAlignment="1" applyProtection="1">
      <alignment horizontal="center" vertical="center"/>
      <protection hidden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9" fontId="0" fillId="0" borderId="2" xfId="0" applyNumberFormat="1" applyFill="1" applyBorder="1" applyAlignment="1" applyProtection="1">
      <alignment vertical="center"/>
      <protection hidden="1"/>
    </xf>
    <xf numFmtId="0" fontId="5" fillId="0" borderId="1" xfId="0" applyFont="1" applyFill="1" applyBorder="1" applyAlignment="1" applyProtection="1">
      <alignment vertical="center"/>
      <protection locked="0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38" fontId="3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7" fillId="0" borderId="4" xfId="0" applyFont="1" applyFill="1" applyBorder="1" applyAlignment="1" applyProtection="1">
      <alignment horizontal="center" vertical="center"/>
    </xf>
    <xf numFmtId="0" fontId="8" fillId="0" borderId="4" xfId="0" applyFont="1" applyFill="1" applyBorder="1" applyAlignment="1" applyProtection="1">
      <alignment horizontal="center" vertical="center"/>
    </xf>
    <xf numFmtId="0" fontId="7" fillId="0" borderId="3" xfId="0" applyNumberFormat="1" applyFont="1" applyFill="1" applyBorder="1" applyAlignment="1" applyProtection="1">
      <alignment horizontal="center" vertical="center"/>
    </xf>
    <xf numFmtId="0" fontId="7" fillId="0" borderId="4" xfId="0" applyNumberFormat="1" applyFont="1" applyFill="1" applyBorder="1" applyAlignment="1" applyProtection="1">
      <alignment horizontal="center" vertical="center"/>
    </xf>
    <xf numFmtId="0" fontId="3" fillId="0" borderId="4" xfId="0" applyNumberFormat="1" applyFont="1" applyFill="1" applyBorder="1" applyAlignment="1" applyProtection="1">
      <alignment horizontal="center" vertical="center"/>
    </xf>
    <xf numFmtId="0" fontId="7" fillId="0" borderId="3" xfId="0" applyNumberFormat="1" applyFont="1" applyFill="1" applyBorder="1" applyAlignment="1" applyProtection="1">
      <alignment horizontal="center" vertical="center" wrapText="1"/>
    </xf>
    <xf numFmtId="0" fontId="7" fillId="0" borderId="4" xfId="0" applyNumberFormat="1" applyFont="1" applyFill="1" applyBorder="1" applyAlignment="1" applyProtection="1">
      <alignment horizontal="center" vertical="center" wrapText="1"/>
    </xf>
    <xf numFmtId="0" fontId="7" fillId="0" borderId="2" xfId="0" applyNumberFormat="1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 applyProtection="1">
      <alignment horizontal="centerContinuous" vertical="center" wrapText="1"/>
    </xf>
    <xf numFmtId="0" fontId="7" fillId="5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/>
    </xf>
    <xf numFmtId="38" fontId="3" fillId="0" borderId="1" xfId="0" applyNumberFormat="1" applyFont="1" applyFill="1" applyBorder="1" applyAlignment="1" applyProtection="1">
      <alignment horizontal="center" vertical="center"/>
    </xf>
    <xf numFmtId="0" fontId="9" fillId="0" borderId="4" xfId="0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Continuous" vertical="center" wrapText="1"/>
    </xf>
    <xf numFmtId="0" fontId="5" fillId="0" borderId="1" xfId="0" applyFont="1" applyFill="1" applyBorder="1" applyAlignment="1" applyProtection="1">
      <alignment horizontal="centerContinuous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178" fontId="3" fillId="0" borderId="1" xfId="0" applyNumberFormat="1" applyFont="1" applyFill="1" applyBorder="1" applyAlignment="1" applyProtection="1">
      <alignment horizontal="center" vertical="center"/>
    </xf>
    <xf numFmtId="38" fontId="5" fillId="0" borderId="1" xfId="0" applyNumberFormat="1" applyFont="1" applyFill="1" applyBorder="1" applyAlignment="1" applyProtection="1">
      <alignment horizontal="center" vertical="center"/>
    </xf>
    <xf numFmtId="179" fontId="10" fillId="0" borderId="1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38" fontId="3" fillId="0" borderId="1" xfId="1" applyNumberFormat="1" applyFont="1" applyFill="1" applyBorder="1" applyAlignment="1" applyProtection="1">
      <alignment horizontal="center" vertical="center" shrinkToFit="1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vertical="center" wrapText="1"/>
    </xf>
    <xf numFmtId="38" fontId="11" fillId="0" borderId="1" xfId="1" applyNumberFormat="1" applyFont="1" applyFill="1" applyBorder="1" applyAlignment="1" applyProtection="1">
      <alignment horizontal="center" vertical="center" shrinkToFit="1"/>
      <protection hidden="1"/>
    </xf>
    <xf numFmtId="38" fontId="5" fillId="0" borderId="1" xfId="1" applyNumberFormat="1" applyFont="1" applyFill="1" applyBorder="1" applyAlignment="1" applyProtection="1">
      <alignment horizontal="center" vertical="center" shrinkToFit="1"/>
      <protection hidden="1"/>
    </xf>
    <xf numFmtId="38" fontId="5" fillId="0" borderId="1" xfId="1" applyNumberFormat="1" applyFont="1" applyFill="1" applyBorder="1" applyAlignment="1" applyProtection="1">
      <alignment horizontal="center" vertical="center" shrinkToFit="1"/>
    </xf>
    <xf numFmtId="0" fontId="3" fillId="6" borderId="1" xfId="0" applyFont="1" applyFill="1" applyBorder="1" applyAlignment="1" applyProtection="1">
      <alignment horizontal="center" vertical="center" wrapText="1"/>
    </xf>
    <xf numFmtId="38" fontId="3" fillId="0" borderId="1" xfId="1" applyNumberFormat="1" applyFont="1" applyFill="1" applyBorder="1" applyAlignment="1" applyProtection="1">
      <alignment horizontal="center" vertical="center" shrinkToFit="1"/>
      <protection hidden="1"/>
    </xf>
    <xf numFmtId="10" fontId="3" fillId="0" borderId="1" xfId="3" applyNumberFormat="1" applyFont="1" applyFill="1" applyBorder="1" applyAlignment="1" applyProtection="1">
      <alignment horizontal="center" vertical="center" shrinkToFit="1"/>
      <protection hidden="1"/>
    </xf>
    <xf numFmtId="0" fontId="5" fillId="0" borderId="1" xfId="0" applyFont="1" applyFill="1" applyBorder="1" applyAlignment="1" applyProtection="1">
      <alignment vertical="center"/>
    </xf>
    <xf numFmtId="0" fontId="12" fillId="0" borderId="1" xfId="0" applyFont="1" applyFill="1" applyBorder="1" applyAlignment="1" applyProtection="1">
      <alignment vertical="center" wrapText="1"/>
    </xf>
    <xf numFmtId="0" fontId="3" fillId="0" borderId="3" xfId="0" applyFont="1" applyFill="1" applyBorder="1" applyAlignment="1" applyProtection="1">
      <alignment vertical="center" wrapText="1"/>
    </xf>
    <xf numFmtId="180" fontId="5" fillId="0" borderId="1" xfId="0" applyNumberFormat="1" applyFont="1" applyFill="1" applyBorder="1" applyAlignment="1" applyProtection="1">
      <alignment horizontal="center" vertical="center" wrapText="1"/>
    </xf>
    <xf numFmtId="178" fontId="5" fillId="0" borderId="1" xfId="0" applyNumberFormat="1" applyFont="1" applyFill="1" applyBorder="1" applyAlignment="1" applyProtection="1">
      <alignment horizontal="center" vertical="center" wrapText="1"/>
    </xf>
    <xf numFmtId="43" fontId="3" fillId="0" borderId="1" xfId="1" applyFont="1" applyFill="1" applyBorder="1" applyAlignment="1" applyProtection="1">
      <alignment horizontal="center" vertical="center" wrapText="1" shrinkToFit="1"/>
      <protection hidden="1"/>
    </xf>
    <xf numFmtId="9" fontId="5" fillId="0" borderId="3" xfId="3" applyFont="1" applyFill="1" applyBorder="1" applyAlignment="1" applyProtection="1">
      <alignment horizontal="center" vertical="center" wrapText="1"/>
    </xf>
    <xf numFmtId="177" fontId="3" fillId="0" borderId="1" xfId="3" applyNumberFormat="1" applyFont="1" applyFill="1" applyBorder="1" applyAlignment="1" applyProtection="1">
      <alignment horizontal="center" vertical="center"/>
    </xf>
    <xf numFmtId="176" fontId="5" fillId="0" borderId="1" xfId="0" applyNumberFormat="1" applyFont="1" applyFill="1" applyBorder="1" applyAlignment="1" applyProtection="1">
      <alignment vertical="center"/>
    </xf>
    <xf numFmtId="0" fontId="5" fillId="0" borderId="0" xfId="0" applyFont="1" applyFill="1" applyBorder="1" applyAlignment="1" applyProtection="1">
      <alignment vertical="center"/>
    </xf>
    <xf numFmtId="176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Fill="1" applyBorder="1" applyAlignment="1" applyProtection="1">
      <alignment horizontal="center" vertical="center" wrapText="1"/>
    </xf>
    <xf numFmtId="38" fontId="3" fillId="0" borderId="0" xfId="0" applyNumberFormat="1" applyFont="1" applyFill="1" applyBorder="1" applyAlignment="1" applyProtection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" xfId="49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0"/>
  <sheetViews>
    <sheetView tabSelected="1" zoomScale="85" zoomScaleNormal="85" workbookViewId="0">
      <pane xSplit="7" ySplit="4" topLeftCell="H5" activePane="bottomRight" state="frozen"/>
      <selection/>
      <selection pane="topRight"/>
      <selection pane="bottomLeft"/>
      <selection pane="bottomRight" activeCell="AA5" sqref="AA5"/>
    </sheetView>
  </sheetViews>
  <sheetFormatPr defaultColWidth="9" defaultRowHeight="16.8"/>
  <cols>
    <col min="1" max="3" width="8.07692307692308" customWidth="1"/>
    <col min="5" max="5" width="12.3557692307692" customWidth="1"/>
    <col min="8" max="8" width="20" customWidth="1"/>
    <col min="10" max="10" width="7.64423076923077" customWidth="1"/>
    <col min="11" max="11" width="7.94230769230769" customWidth="1"/>
    <col min="13" max="13" width="13.9519230769231" customWidth="1"/>
    <col min="14" max="14" width="11.6826923076923" customWidth="1"/>
    <col min="20" max="20" width="10.2788461538462" customWidth="1"/>
    <col min="22" max="22" width="11.6730769230769" customWidth="1"/>
    <col min="23" max="23" width="11.1153846153846" customWidth="1"/>
    <col min="28" max="28" width="9.25961538461539" customWidth="1"/>
    <col min="30" max="30" width="12.2211538461538" customWidth="1"/>
  </cols>
  <sheetData>
    <row r="1" s="30" customFormat="1" ht="39" customHeight="1" spans="1:43">
      <c r="A1" s="33" t="s">
        <v>0</v>
      </c>
      <c r="B1" s="34"/>
      <c r="C1" s="35"/>
      <c r="D1" s="36"/>
      <c r="E1" s="36"/>
      <c r="F1" s="49"/>
      <c r="G1" s="36"/>
      <c r="H1" s="49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67"/>
      <c r="AF1" s="67"/>
      <c r="AG1" s="67"/>
      <c r="AH1" s="67"/>
      <c r="AI1" s="75"/>
      <c r="AJ1" s="76"/>
      <c r="AK1" s="76"/>
      <c r="AL1" s="76"/>
      <c r="AM1" s="76"/>
      <c r="AN1" s="76"/>
      <c r="AO1" s="76"/>
      <c r="AP1" s="76"/>
      <c r="AQ1" s="76"/>
    </row>
    <row r="2" s="30" customFormat="1" ht="33" customHeight="1" spans="1:43">
      <c r="A2" s="37"/>
      <c r="B2" s="38"/>
      <c r="C2" s="38"/>
      <c r="D2" s="39"/>
      <c r="E2" s="50"/>
      <c r="F2" s="50"/>
      <c r="G2" s="39"/>
      <c r="H2" s="50"/>
      <c r="I2" s="50"/>
      <c r="J2" s="50"/>
      <c r="K2" s="50"/>
      <c r="L2" s="50"/>
      <c r="M2" s="59"/>
      <c r="N2" s="60"/>
      <c r="O2" s="51" t="s">
        <v>1</v>
      </c>
      <c r="P2" s="51"/>
      <c r="Q2" s="51"/>
      <c r="R2" s="51"/>
      <c r="S2" s="51"/>
      <c r="T2" s="51"/>
      <c r="U2" s="51"/>
      <c r="V2" s="51"/>
      <c r="W2" s="51"/>
      <c r="X2" s="51"/>
      <c r="Y2" s="51"/>
      <c r="Z2" s="60"/>
      <c r="AA2" s="60"/>
      <c r="AB2" s="60"/>
      <c r="AC2" s="68"/>
      <c r="AD2" s="69"/>
      <c r="AE2" s="67"/>
      <c r="AF2" s="67"/>
      <c r="AG2" s="67"/>
      <c r="AH2" s="67"/>
      <c r="AI2" s="75"/>
      <c r="AJ2" s="76"/>
      <c r="AK2" s="76"/>
      <c r="AL2" s="76"/>
      <c r="AM2" s="76"/>
      <c r="AN2" s="76"/>
      <c r="AO2" s="76"/>
      <c r="AP2" s="76"/>
      <c r="AQ2" s="76"/>
    </row>
    <row r="3" s="31" customFormat="1" ht="39" customHeight="1" spans="1:43">
      <c r="A3" s="40"/>
      <c r="B3" s="41"/>
      <c r="C3" s="42"/>
      <c r="D3" s="43" t="s">
        <v>2</v>
      </c>
      <c r="E3" s="51"/>
      <c r="F3" s="52"/>
      <c r="G3" s="51"/>
      <c r="H3" s="52"/>
      <c r="I3" s="51"/>
      <c r="J3" s="51"/>
      <c r="K3" s="51"/>
      <c r="L3" s="51"/>
      <c r="M3" s="51"/>
      <c r="N3" s="60" t="s">
        <v>3</v>
      </c>
      <c r="O3" s="45" t="s">
        <v>4</v>
      </c>
      <c r="P3" s="45" t="s">
        <v>5</v>
      </c>
      <c r="Q3" s="45" t="s">
        <v>6</v>
      </c>
      <c r="R3" s="45" t="s">
        <v>7</v>
      </c>
      <c r="S3" s="45" t="s">
        <v>8</v>
      </c>
      <c r="T3" s="64" t="s">
        <v>9</v>
      </c>
      <c r="U3" s="45" t="s">
        <v>10</v>
      </c>
      <c r="V3" s="45" t="s">
        <v>11</v>
      </c>
      <c r="W3" s="45" t="s">
        <v>12</v>
      </c>
      <c r="X3" s="45" t="s">
        <v>13</v>
      </c>
      <c r="Y3" s="45" t="s">
        <v>14</v>
      </c>
      <c r="Z3" s="60" t="s">
        <v>15</v>
      </c>
      <c r="AA3" s="60" t="s">
        <v>16</v>
      </c>
      <c r="AB3" s="60" t="s">
        <v>17</v>
      </c>
      <c r="AC3" s="68" t="s">
        <v>18</v>
      </c>
      <c r="AD3" s="69" t="s">
        <v>19</v>
      </c>
      <c r="AE3" s="70" t="s">
        <v>20</v>
      </c>
      <c r="AF3" s="71" t="s">
        <v>21</v>
      </c>
      <c r="AG3" s="53" t="s">
        <v>22</v>
      </c>
      <c r="AH3" s="53"/>
      <c r="AI3" s="77"/>
      <c r="AJ3" s="78"/>
      <c r="AK3" s="78"/>
      <c r="AL3" s="78"/>
      <c r="AM3" s="78"/>
      <c r="AN3" s="78"/>
      <c r="AO3" s="78"/>
      <c r="AP3" s="78"/>
      <c r="AQ3" s="78"/>
    </row>
    <row r="4" s="31" customFormat="1" ht="43.25" customHeight="1" spans="1:43">
      <c r="A4" s="44" t="s">
        <v>23</v>
      </c>
      <c r="B4" s="44" t="s">
        <v>24</v>
      </c>
      <c r="C4" s="44" t="s">
        <v>25</v>
      </c>
      <c r="D4" s="45" t="s">
        <v>26</v>
      </c>
      <c r="E4" s="45" t="s">
        <v>27</v>
      </c>
      <c r="F4" s="53" t="s">
        <v>28</v>
      </c>
      <c r="G4" s="45" t="s">
        <v>29</v>
      </c>
      <c r="H4" s="53" t="s">
        <v>30</v>
      </c>
      <c r="I4" s="45" t="s">
        <v>31</v>
      </c>
      <c r="J4" s="45" t="s">
        <v>32</v>
      </c>
      <c r="K4" s="45" t="s">
        <v>33</v>
      </c>
      <c r="L4" s="45" t="s">
        <v>34</v>
      </c>
      <c r="M4" s="45" t="s">
        <v>35</v>
      </c>
      <c r="N4" s="45" t="s">
        <v>36</v>
      </c>
      <c r="O4" s="45" t="s">
        <v>37</v>
      </c>
      <c r="P4" s="45" t="s">
        <v>5</v>
      </c>
      <c r="Q4" s="45" t="s">
        <v>38</v>
      </c>
      <c r="R4" s="45" t="s">
        <v>38</v>
      </c>
      <c r="S4" s="57" t="s">
        <v>39</v>
      </c>
      <c r="T4" s="57" t="s">
        <v>40</v>
      </c>
      <c r="U4" s="45" t="s">
        <v>41</v>
      </c>
      <c r="V4" s="45" t="s">
        <v>42</v>
      </c>
      <c r="W4" s="45" t="s">
        <v>41</v>
      </c>
      <c r="X4" s="45" t="s">
        <v>41</v>
      </c>
      <c r="Y4" s="45" t="s">
        <v>14</v>
      </c>
      <c r="Z4" s="60" t="s">
        <v>15</v>
      </c>
      <c r="AA4" s="60" t="s">
        <v>16</v>
      </c>
      <c r="AB4" s="60" t="s">
        <v>17</v>
      </c>
      <c r="AC4" s="68" t="s">
        <v>18</v>
      </c>
      <c r="AD4" s="69" t="s">
        <v>19</v>
      </c>
      <c r="AE4" s="70" t="s">
        <v>20</v>
      </c>
      <c r="AF4" s="71" t="s">
        <v>21</v>
      </c>
      <c r="AG4" s="53" t="s">
        <v>22</v>
      </c>
      <c r="AH4" s="53"/>
      <c r="AI4" s="77"/>
      <c r="AJ4" s="78"/>
      <c r="AK4" s="78"/>
      <c r="AL4" s="78"/>
      <c r="AM4" s="78"/>
      <c r="AN4" s="78"/>
      <c r="AO4" s="78"/>
      <c r="AP4" s="78"/>
      <c r="AQ4" s="78"/>
    </row>
    <row r="5" s="32" customFormat="1" ht="43.25" customHeight="1" spans="1:43">
      <c r="A5" s="46" t="s">
        <v>43</v>
      </c>
      <c r="B5" s="46" t="s">
        <v>44</v>
      </c>
      <c r="C5" s="47" t="s">
        <v>45</v>
      </c>
      <c r="D5" s="48" t="s">
        <v>46</v>
      </c>
      <c r="E5" s="54" t="s">
        <v>47</v>
      </c>
      <c r="F5" s="55" t="s">
        <v>48</v>
      </c>
      <c r="G5" s="48" t="s">
        <v>49</v>
      </c>
      <c r="H5" s="55" t="s">
        <v>50</v>
      </c>
      <c r="I5" s="56" t="s">
        <v>51</v>
      </c>
      <c r="J5" s="48" t="s">
        <v>52</v>
      </c>
      <c r="K5" s="57" t="s">
        <v>53</v>
      </c>
      <c r="L5" s="58">
        <v>26500</v>
      </c>
      <c r="M5" s="58">
        <f>L5-O5</f>
        <v>24719.2</v>
      </c>
      <c r="N5" s="58">
        <v>15000</v>
      </c>
      <c r="O5" s="61">
        <f>L5*0.0672</f>
        <v>1780.8</v>
      </c>
      <c r="P5" s="62"/>
      <c r="Q5" s="62">
        <f>IF($Q$4="不缴纳",0,VLOOKUP(K5,配置项!A:D,3,0))</f>
        <v>1207</v>
      </c>
      <c r="R5" s="62">
        <f>IF($R$4="不缴纳",0,VLOOKUP(K5,配置项!A:D,4,0))</f>
        <v>120</v>
      </c>
      <c r="S5" s="62">
        <v>200</v>
      </c>
      <c r="T5" s="62"/>
      <c r="U5" s="62">
        <f t="shared" ref="U5:U7" si="0">IF($U$4="公司承担",N5/21.75*5/12,0)</f>
        <v>287.35632183908</v>
      </c>
      <c r="V5" s="62" cm="1">
        <f t="array" ref="V5">IF($V$4="自招",VLOOKUP(J5&amp;"-"&amp;AB5,IF({1,0},配置项!$G$1:$G$15&amp;"-"&amp;配置项!$F$1:$F$15,配置项!$H$1:$H$15),2,0),0)</f>
        <v>750</v>
      </c>
      <c r="W5" s="62">
        <f>IF($W$4="公司承担",VLOOKUP(I5,配置项!J:K,2,0),0)*L5</f>
        <v>530</v>
      </c>
      <c r="X5" s="62"/>
      <c r="Y5" s="62">
        <f t="shared" ref="Y5:Y7" si="1">SUM($N5:$X5)</f>
        <v>19875.1563218391</v>
      </c>
      <c r="Z5" s="65">
        <f t="shared" ref="Z5:Z7" si="2">$M5-$Y5</f>
        <v>4844.04367816092</v>
      </c>
      <c r="AA5" s="66">
        <f t="shared" ref="AA5:AA7" si="3">$Z5/$M5</f>
        <v>0.195962801310759</v>
      </c>
      <c r="AB5" s="66" t="s">
        <v>54</v>
      </c>
      <c r="AC5" s="72"/>
      <c r="AD5" s="73">
        <f t="shared" ref="AD5:AD7" si="4">N5/L5</f>
        <v>0.566037735849057</v>
      </c>
      <c r="AE5" s="74"/>
      <c r="AF5" s="71"/>
      <c r="AG5" s="71"/>
      <c r="AH5" s="71"/>
      <c r="AI5" s="48"/>
      <c r="AJ5" s="79"/>
      <c r="AK5" s="79"/>
      <c r="AL5" s="79"/>
      <c r="AM5" s="79"/>
      <c r="AN5" s="79"/>
      <c r="AO5" s="79"/>
      <c r="AP5" s="79"/>
      <c r="AQ5" s="79"/>
    </row>
    <row r="6" s="32" customFormat="1" ht="43.25" customHeight="1" spans="1:43">
      <c r="A6" s="46" t="s">
        <v>55</v>
      </c>
      <c r="B6" s="46" t="s">
        <v>56</v>
      </c>
      <c r="C6" s="47" t="s">
        <v>57</v>
      </c>
      <c r="D6" s="48" t="s">
        <v>58</v>
      </c>
      <c r="E6" s="54" t="s">
        <v>47</v>
      </c>
      <c r="F6" s="55" t="s">
        <v>48</v>
      </c>
      <c r="G6" s="48" t="s">
        <v>59</v>
      </c>
      <c r="H6" s="55" t="s">
        <v>60</v>
      </c>
      <c r="I6" s="56" t="str">
        <f>VLOOKUP(G6,配置项!M:N,2,FALSE)</f>
        <v>双月</v>
      </c>
      <c r="J6" s="48" t="s">
        <v>52</v>
      </c>
      <c r="K6" s="57" t="s">
        <v>61</v>
      </c>
      <c r="L6" s="58">
        <v>28350</v>
      </c>
      <c r="M6" s="63">
        <f t="shared" ref="M5:M7" si="5">L6</f>
        <v>28350</v>
      </c>
      <c r="N6" s="58">
        <v>15000</v>
      </c>
      <c r="O6" s="61">
        <f t="shared" ref="O5:O7" si="6">M6*0.0672</f>
        <v>1905.12</v>
      </c>
      <c r="P6" s="62"/>
      <c r="Q6" s="62">
        <f>IF($Q$4="不缴纳",0,VLOOKUP(K6,配置项!A:D,3,0))</f>
        <v>1918</v>
      </c>
      <c r="R6" s="62">
        <f>IF($R$4="不缴纳",0,VLOOKUP(K6,配置项!A:D,4,0))</f>
        <v>135</v>
      </c>
      <c r="S6" s="62">
        <v>200</v>
      </c>
      <c r="T6" s="62"/>
      <c r="U6" s="62">
        <f t="shared" si="0"/>
        <v>287.35632183908</v>
      </c>
      <c r="V6" s="62" cm="1">
        <f t="array" ref="V6">IF($V$4="自招",VLOOKUP(J6&amp;"-"&amp;AB6,IF({1,0},配置项!$G$1:$G$15&amp;"-"&amp;配置项!$F$1:$F$15,配置项!$H$1:$H$15),2,0),0)</f>
        <v>750</v>
      </c>
      <c r="W6" s="62">
        <f>IF($W$4="公司承担",VLOOKUP(I6,配置项!J:K,2,0),0)*L6</f>
        <v>283.5</v>
      </c>
      <c r="X6" s="62"/>
      <c r="Y6" s="62">
        <f t="shared" si="1"/>
        <v>20478.9763218391</v>
      </c>
      <c r="Z6" s="65">
        <f t="shared" si="2"/>
        <v>7871.02367816092</v>
      </c>
      <c r="AA6" s="66">
        <f t="shared" si="3"/>
        <v>0.277637519511849</v>
      </c>
      <c r="AB6" s="66" t="s">
        <v>54</v>
      </c>
      <c r="AC6" s="72"/>
      <c r="AD6" s="73">
        <f t="shared" si="4"/>
        <v>0.529100529100529</v>
      </c>
      <c r="AE6" s="74"/>
      <c r="AF6" s="71"/>
      <c r="AG6" s="71"/>
      <c r="AH6" s="71"/>
      <c r="AI6" s="48"/>
      <c r="AJ6" s="79"/>
      <c r="AK6" s="79"/>
      <c r="AL6" s="79"/>
      <c r="AM6" s="79"/>
      <c r="AN6" s="79"/>
      <c r="AO6" s="79"/>
      <c r="AP6" s="79"/>
      <c r="AQ6" s="79"/>
    </row>
    <row r="7" s="32" customFormat="1" ht="43.25" customHeight="1" spans="1:43">
      <c r="A7" s="46" t="s">
        <v>62</v>
      </c>
      <c r="B7" s="46" t="s">
        <v>63</v>
      </c>
      <c r="C7" s="47" t="s">
        <v>64</v>
      </c>
      <c r="D7" s="48" t="s">
        <v>65</v>
      </c>
      <c r="E7" s="54" t="s">
        <v>47</v>
      </c>
      <c r="F7" s="55" t="s">
        <v>66</v>
      </c>
      <c r="G7" s="48" t="s">
        <v>67</v>
      </c>
      <c r="H7" s="55" t="s">
        <v>68</v>
      </c>
      <c r="I7" s="56" t="str">
        <f>VLOOKUP(G7,配置项!M:N,2,FALSE)</f>
        <v>季度</v>
      </c>
      <c r="J7" s="48" t="s">
        <v>52</v>
      </c>
      <c r="K7" s="57" t="s">
        <v>69</v>
      </c>
      <c r="L7" s="58">
        <v>6835.9824</v>
      </c>
      <c r="M7" s="63">
        <f t="shared" si="5"/>
        <v>6835.9824</v>
      </c>
      <c r="N7" s="58">
        <v>4176</v>
      </c>
      <c r="O7" s="61">
        <v>459.37801728</v>
      </c>
      <c r="P7" s="62"/>
      <c r="Q7" s="62">
        <f>IF($Q$4="不缴纳",0,VLOOKUP(K7,配置项!A:D,3,0))</f>
        <v>0</v>
      </c>
      <c r="R7" s="62">
        <f>IF($R$4="不缴纳",0,VLOOKUP(K7,配置项!A:D,4,0))</f>
        <v>0</v>
      </c>
      <c r="S7" s="62">
        <v>200</v>
      </c>
      <c r="T7" s="62"/>
      <c r="U7" s="62">
        <f t="shared" si="0"/>
        <v>80</v>
      </c>
      <c r="V7" s="62" cm="1">
        <f t="array" ref="V7">IF($V$4="自招",VLOOKUP(J7&amp;"-"&amp;AB7,IF({1,0},配置项!$G$1:$G$15&amp;"-"&amp;配置项!$F$1:$F$15,配置项!$H$1:$H$15),2,0),0)</f>
        <v>375</v>
      </c>
      <c r="W7" s="62">
        <f>IF($W$4="公司承担",VLOOKUP(I7,配置项!J:K,2,0),0)*L7</f>
        <v>136.719648</v>
      </c>
      <c r="X7" s="62"/>
      <c r="Y7" s="62">
        <f t="shared" si="1"/>
        <v>5427.09766528</v>
      </c>
      <c r="Z7" s="65">
        <f t="shared" si="2"/>
        <v>1408.88473472</v>
      </c>
      <c r="AA7" s="66">
        <f t="shared" si="3"/>
        <v>0.206098356063643</v>
      </c>
      <c r="AB7" s="66" t="s">
        <v>70</v>
      </c>
      <c r="AC7" s="72"/>
      <c r="AD7" s="73">
        <f t="shared" si="4"/>
        <v>0.610885130423975</v>
      </c>
      <c r="AE7" s="74"/>
      <c r="AF7" s="71"/>
      <c r="AG7" s="71"/>
      <c r="AH7" s="71"/>
      <c r="AI7" s="48"/>
      <c r="AJ7" s="79"/>
      <c r="AK7" s="79"/>
      <c r="AL7" s="79"/>
      <c r="AM7" s="79"/>
      <c r="AN7" s="79"/>
      <c r="AO7" s="79"/>
      <c r="AP7" s="79"/>
      <c r="AQ7" s="79"/>
    </row>
    <row r="8" s="32" customFormat="1" ht="43.25" customHeight="1" spans="1:43">
      <c r="A8" s="46"/>
      <c r="B8" s="46"/>
      <c r="C8" s="47"/>
      <c r="D8" s="48"/>
      <c r="E8" s="54"/>
      <c r="F8" s="55"/>
      <c r="G8" s="48"/>
      <c r="H8" s="55"/>
      <c r="I8" s="56"/>
      <c r="J8" s="48"/>
      <c r="K8" s="57"/>
      <c r="L8" s="58"/>
      <c r="M8" s="63"/>
      <c r="N8" s="58"/>
      <c r="O8" s="61"/>
      <c r="P8" s="62"/>
      <c r="Q8" s="62"/>
      <c r="R8" s="62"/>
      <c r="S8" s="62"/>
      <c r="T8" s="62"/>
      <c r="U8" s="62"/>
      <c r="V8" s="62"/>
      <c r="W8" s="62"/>
      <c r="X8" s="62"/>
      <c r="Y8" s="62"/>
      <c r="Z8" s="65"/>
      <c r="AA8" s="66"/>
      <c r="AB8" s="66"/>
      <c r="AC8" s="72"/>
      <c r="AD8" s="73"/>
      <c r="AE8" s="74"/>
      <c r="AF8" s="71"/>
      <c r="AG8" s="71"/>
      <c r="AH8" s="71"/>
      <c r="AI8" s="48"/>
      <c r="AJ8" s="79"/>
      <c r="AK8" s="79"/>
      <c r="AL8" s="79"/>
      <c r="AM8" s="79"/>
      <c r="AN8" s="79"/>
      <c r="AO8" s="79"/>
      <c r="AP8" s="79"/>
      <c r="AQ8" s="79"/>
    </row>
    <row r="9" s="32" customFormat="1" ht="43.25" customHeight="1" spans="1:43">
      <c r="A9" s="46"/>
      <c r="B9" s="46"/>
      <c r="C9" s="47"/>
      <c r="D9" s="48"/>
      <c r="E9" s="54"/>
      <c r="F9" s="55"/>
      <c r="G9" s="48"/>
      <c r="H9" s="55"/>
      <c r="I9" s="56"/>
      <c r="J9" s="48"/>
      <c r="K9" s="57"/>
      <c r="L9" s="58"/>
      <c r="M9" s="63"/>
      <c r="N9" s="58"/>
      <c r="O9" s="61"/>
      <c r="P9" s="62"/>
      <c r="Q9" s="62"/>
      <c r="R9" s="62"/>
      <c r="S9" s="62"/>
      <c r="T9" s="62"/>
      <c r="U9" s="62"/>
      <c r="V9" s="62"/>
      <c r="W9" s="62"/>
      <c r="X9" s="62"/>
      <c r="Y9" s="62"/>
      <c r="Z9" s="65"/>
      <c r="AA9" s="66"/>
      <c r="AB9" s="66"/>
      <c r="AC9" s="72"/>
      <c r="AD9" s="73"/>
      <c r="AE9" s="74"/>
      <c r="AF9" s="71"/>
      <c r="AG9" s="71"/>
      <c r="AH9" s="71"/>
      <c r="AI9" s="48"/>
      <c r="AJ9" s="79"/>
      <c r="AK9" s="79"/>
      <c r="AL9" s="79"/>
      <c r="AM9" s="79"/>
      <c r="AN9" s="79"/>
      <c r="AO9" s="79"/>
      <c r="AP9" s="79"/>
      <c r="AQ9" s="79"/>
    </row>
    <row r="10" s="32" customFormat="1" ht="43.25" customHeight="1" spans="1:43">
      <c r="A10" s="46"/>
      <c r="B10" s="46"/>
      <c r="C10" s="47"/>
      <c r="D10" s="48"/>
      <c r="E10" s="54"/>
      <c r="F10" s="55"/>
      <c r="G10" s="48"/>
      <c r="H10" s="55"/>
      <c r="I10" s="56"/>
      <c r="J10" s="48"/>
      <c r="K10" s="57"/>
      <c r="L10" s="58"/>
      <c r="M10" s="63"/>
      <c r="N10" s="58"/>
      <c r="O10" s="61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5"/>
      <c r="AA10" s="66"/>
      <c r="AB10" s="66"/>
      <c r="AC10" s="72"/>
      <c r="AD10" s="73"/>
      <c r="AE10" s="74"/>
      <c r="AF10" s="71"/>
      <c r="AG10" s="71"/>
      <c r="AH10" s="71"/>
      <c r="AI10" s="48"/>
      <c r="AJ10" s="79"/>
      <c r="AK10" s="79"/>
      <c r="AL10" s="79"/>
      <c r="AM10" s="79"/>
      <c r="AN10" s="79"/>
      <c r="AO10" s="79"/>
      <c r="AP10" s="79"/>
      <c r="AQ10" s="79"/>
    </row>
  </sheetData>
  <mergeCells count="3">
    <mergeCell ref="A1:AD1"/>
    <mergeCell ref="A2:M2"/>
    <mergeCell ref="A3:C3"/>
  </mergeCells>
  <conditionalFormatting sqref="D3">
    <cfRule type="duplicateValues" dxfId="0" priority="27"/>
  </conditionalFormatting>
  <conditionalFormatting sqref="AC5">
    <cfRule type="containsText" dxfId="1" priority="31" operator="between" text="低于人均毛利额且低于平均毛利率">
      <formula>NOT(ISERROR(SEARCH("低于人均毛利额且低于平均毛利率",AC5)))</formula>
    </cfRule>
  </conditionalFormatting>
  <conditionalFormatting sqref="AC6">
    <cfRule type="containsText" dxfId="1" priority="30" operator="between" text="低于人均毛利额且低于平均毛利率">
      <formula>NOT(ISERROR(SEARCH("低于人均毛利额且低于平均毛利率",AC6)))</formula>
    </cfRule>
  </conditionalFormatting>
  <conditionalFormatting sqref="D7">
    <cfRule type="duplicateValues" dxfId="0" priority="19"/>
  </conditionalFormatting>
  <conditionalFormatting sqref="AC7">
    <cfRule type="containsText" dxfId="1" priority="20" operator="between" text="低于人均毛利额且低于平均毛利率">
      <formula>NOT(ISERROR(SEARCH("低于人均毛利额且低于平均毛利率",AC7)))</formula>
    </cfRule>
  </conditionalFormatting>
  <conditionalFormatting sqref="D8">
    <cfRule type="duplicateValues" dxfId="0" priority="12"/>
  </conditionalFormatting>
  <conditionalFormatting sqref="AC8">
    <cfRule type="containsText" dxfId="1" priority="15" operator="between" text="低于人均毛利额且低于平均毛利率">
      <formula>NOT(ISERROR(SEARCH("低于人均毛利额且低于平均毛利率",AC8)))</formula>
    </cfRule>
  </conditionalFormatting>
  <conditionalFormatting sqref="D9">
    <cfRule type="duplicateValues" dxfId="0" priority="11"/>
  </conditionalFormatting>
  <conditionalFormatting sqref="AC9">
    <cfRule type="containsText" dxfId="1" priority="14" operator="between" text="低于人均毛利额且低于平均毛利率">
      <formula>NOT(ISERROR(SEARCH("低于人均毛利额且低于平均毛利率",AC9)))</formula>
    </cfRule>
  </conditionalFormatting>
  <conditionalFormatting sqref="D10">
    <cfRule type="duplicateValues" dxfId="0" priority="10"/>
  </conditionalFormatting>
  <conditionalFormatting sqref="AC10">
    <cfRule type="containsText" dxfId="1" priority="13" operator="between" text="低于人均毛利额且低于平均毛利率">
      <formula>NOT(ISERROR(SEARCH("低于人均毛利额且低于平均毛利率",AC10)))</formula>
    </cfRule>
  </conditionalFormatting>
  <conditionalFormatting sqref="A1 D5:D6">
    <cfRule type="duplicateValues" dxfId="0" priority="29"/>
  </conditionalFormatting>
  <conditionalFormatting sqref="A1 D3:D6">
    <cfRule type="duplicateValues" dxfId="0" priority="26"/>
  </conditionalFormatting>
  <dataValidations count="9">
    <dataValidation type="list" allowBlank="1" showInputMessage="1" showErrorMessage="1" sqref="O4">
      <formula1>"专票,普票"</formula1>
    </dataValidation>
    <dataValidation type="list" allowBlank="1" showInputMessage="1" showErrorMessage="1" sqref="Q4:R4">
      <formula1>"最低基数,不缴纳"</formula1>
    </dataValidation>
    <dataValidation type="list" allowBlank="1" showInputMessage="1" showErrorMessage="1" sqref="U4">
      <formula1>"公司承担,客户承担"</formula1>
    </dataValidation>
    <dataValidation type="list" allowBlank="1" showInputMessage="1" showErrorMessage="1" sqref="V4">
      <formula1>"自招,客户挂靠"</formula1>
    </dataValidation>
    <dataValidation type="list" allowBlank="1" showInputMessage="1" showErrorMessage="1" sqref="W4:X4">
      <formula1>"公司承担"</formula1>
    </dataValidation>
    <dataValidation type="list" allowBlank="1" showInputMessage="1" showErrorMessage="1" sqref="J5:J7">
      <formula1>"助理,初级,中级,高级,资深,专家"</formula1>
    </dataValidation>
    <dataValidation type="list" allowBlank="1" showInputMessage="1" showErrorMessage="1" sqref="L3:L4">
      <formula1>"月报价,天报价,小时报价"</formula1>
    </dataValidation>
    <dataValidation type="list" allowBlank="1" showInputMessage="1" showErrorMessage="1" sqref="AB1:AB2 AB5:AB1048576">
      <formula1>"ITO,BPO"</formula1>
    </dataValidation>
    <dataValidation allowBlank="1" showInputMessage="1" showErrorMessage="1" sqref="AB3:AB4"/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zoomScale="120" zoomScaleNormal="120" workbookViewId="0">
      <pane xSplit="1" ySplit="1" topLeftCell="B2" activePane="bottomRight" state="frozen"/>
      <selection/>
      <selection pane="topRight"/>
      <selection pane="bottomLeft"/>
      <selection pane="bottomRight" activeCell="G49" sqref="G49"/>
    </sheetView>
  </sheetViews>
  <sheetFormatPr defaultColWidth="9" defaultRowHeight="16.8"/>
  <cols>
    <col min="1" max="1" width="10.8269230769231" style="2" customWidth="1"/>
    <col min="2" max="2" width="6.33653846153846" style="1" customWidth="1"/>
    <col min="3" max="4" width="9.66346153846154" style="3" customWidth="1"/>
    <col min="5" max="5" width="9" style="2" customWidth="1"/>
    <col min="6" max="6" width="10" style="4" customWidth="1"/>
    <col min="7" max="7" width="9" style="4"/>
    <col min="8" max="8" width="11.1057692307692" style="2" customWidth="1"/>
    <col min="9" max="9" width="9.58653846153846" style="2" customWidth="1"/>
    <col min="10" max="10" width="11" style="2" hidden="1" customWidth="1"/>
    <col min="11" max="11" width="11" style="5" hidden="1" customWidth="1"/>
    <col min="12" max="12" width="9" style="2" customWidth="1"/>
    <col min="13" max="13" width="12.9711538461538" style="2" customWidth="1"/>
    <col min="14" max="14" width="10.3942307692308" style="2" customWidth="1"/>
    <col min="15" max="16" width="9" style="2" customWidth="1"/>
    <col min="17" max="16369" width="9" style="2"/>
    <col min="16370" max="16384" width="9" style="6"/>
  </cols>
  <sheetData>
    <row r="1" s="1" customFormat="1" ht="17" customHeight="1" spans="1:15">
      <c r="A1" s="7" t="s">
        <v>71</v>
      </c>
      <c r="B1" s="7" t="s">
        <v>72</v>
      </c>
      <c r="C1" s="8" t="s">
        <v>73</v>
      </c>
      <c r="D1" s="8" t="s">
        <v>74</v>
      </c>
      <c r="E1" s="1"/>
      <c r="F1" s="19" t="s">
        <v>17</v>
      </c>
      <c r="G1" s="19" t="s">
        <v>75</v>
      </c>
      <c r="H1" s="20" t="s">
        <v>11</v>
      </c>
      <c r="I1" s="2"/>
      <c r="J1" s="24" t="s">
        <v>76</v>
      </c>
      <c r="K1" s="25" t="s">
        <v>77</v>
      </c>
      <c r="L1" s="2"/>
      <c r="M1" s="27" t="s">
        <v>29</v>
      </c>
      <c r="N1" s="28" t="s">
        <v>31</v>
      </c>
      <c r="O1" s="25" t="s">
        <v>77</v>
      </c>
    </row>
    <row r="2" s="2" customFormat="1" spans="1:15">
      <c r="A2" s="9" t="s">
        <v>61</v>
      </c>
      <c r="B2" s="10">
        <v>0</v>
      </c>
      <c r="C2" s="11">
        <v>1918</v>
      </c>
      <c r="D2" s="11">
        <v>135</v>
      </c>
      <c r="E2" s="21"/>
      <c r="F2" s="22" t="s">
        <v>54</v>
      </c>
      <c r="G2" s="22" t="s">
        <v>78</v>
      </c>
      <c r="H2" s="23">
        <v>650</v>
      </c>
      <c r="I2" s="2"/>
      <c r="J2" s="23" t="s">
        <v>79</v>
      </c>
      <c r="K2" s="26">
        <v>0.005</v>
      </c>
      <c r="L2" s="2"/>
      <c r="M2" s="9" t="s">
        <v>80</v>
      </c>
      <c r="N2" s="9" t="s">
        <v>81</v>
      </c>
      <c r="O2" s="29">
        <v>0.04</v>
      </c>
    </row>
    <row r="3" s="2" customFormat="1" spans="1:15">
      <c r="A3" s="9" t="s">
        <v>82</v>
      </c>
      <c r="B3" s="10">
        <v>0</v>
      </c>
      <c r="C3" s="11">
        <v>1255.12</v>
      </c>
      <c r="D3" s="11">
        <v>199</v>
      </c>
      <c r="E3" s="21"/>
      <c r="F3" s="22" t="s">
        <v>54</v>
      </c>
      <c r="G3" s="22" t="s">
        <v>83</v>
      </c>
      <c r="H3" s="23">
        <v>650</v>
      </c>
      <c r="I3" s="2"/>
      <c r="J3" s="23" t="s">
        <v>84</v>
      </c>
      <c r="K3" s="26">
        <v>0.01</v>
      </c>
      <c r="L3" s="2"/>
      <c r="M3" s="9" t="s">
        <v>85</v>
      </c>
      <c r="N3" s="9" t="s">
        <v>51</v>
      </c>
      <c r="O3" s="29">
        <v>0.02</v>
      </c>
    </row>
    <row r="4" s="2" customFormat="1" spans="1:15">
      <c r="A4" s="9" t="s">
        <v>86</v>
      </c>
      <c r="B4" s="10">
        <v>0</v>
      </c>
      <c r="C4" s="11">
        <v>1257</v>
      </c>
      <c r="D4" s="11">
        <v>125</v>
      </c>
      <c r="E4" s="21"/>
      <c r="F4" s="22" t="s">
        <v>54</v>
      </c>
      <c r="G4" s="22" t="s">
        <v>52</v>
      </c>
      <c r="H4" s="23">
        <v>750</v>
      </c>
      <c r="I4" s="2"/>
      <c r="J4" s="23" t="s">
        <v>51</v>
      </c>
      <c r="K4" s="26">
        <v>0.02</v>
      </c>
      <c r="L4" s="2"/>
      <c r="M4" s="9" t="s">
        <v>87</v>
      </c>
      <c r="N4" s="9" t="s">
        <v>81</v>
      </c>
      <c r="O4" s="29">
        <v>0.04</v>
      </c>
    </row>
    <row r="5" s="2" customFormat="1" spans="1:15">
      <c r="A5" s="9" t="s">
        <v>88</v>
      </c>
      <c r="B5" s="10">
        <v>0</v>
      </c>
      <c r="C5" s="11">
        <v>1898</v>
      </c>
      <c r="D5" s="11">
        <v>127</v>
      </c>
      <c r="E5" s="21"/>
      <c r="F5" s="22" t="s">
        <v>54</v>
      </c>
      <c r="G5" s="22" t="s">
        <v>89</v>
      </c>
      <c r="H5" s="23">
        <v>750</v>
      </c>
      <c r="I5" s="2"/>
      <c r="J5" s="23" t="s">
        <v>81</v>
      </c>
      <c r="K5" s="26">
        <v>0.04</v>
      </c>
      <c r="L5" s="2"/>
      <c r="M5" s="9" t="s">
        <v>90</v>
      </c>
      <c r="N5" s="9" t="s">
        <v>51</v>
      </c>
      <c r="O5" s="29">
        <v>0.02</v>
      </c>
    </row>
    <row r="6" s="2" customFormat="1" spans="1:15">
      <c r="A6" s="9" t="s">
        <v>91</v>
      </c>
      <c r="B6" s="10">
        <v>0</v>
      </c>
      <c r="C6" s="12">
        <v>1237</v>
      </c>
      <c r="D6" s="12">
        <v>126</v>
      </c>
      <c r="E6" s="21"/>
      <c r="F6" s="22" t="s">
        <v>54</v>
      </c>
      <c r="G6" s="22" t="s">
        <v>92</v>
      </c>
      <c r="H6" s="23">
        <v>750</v>
      </c>
      <c r="I6" s="2"/>
      <c r="J6" s="23" t="s">
        <v>93</v>
      </c>
      <c r="K6" s="26">
        <v>0.1</v>
      </c>
      <c r="L6" s="2"/>
      <c r="M6" s="9" t="s">
        <v>49</v>
      </c>
      <c r="N6" s="9" t="s">
        <v>84</v>
      </c>
      <c r="O6" s="29">
        <v>0.01</v>
      </c>
    </row>
    <row r="7" s="2" customFormat="1" spans="1:15">
      <c r="A7" s="9" t="s">
        <v>94</v>
      </c>
      <c r="B7" s="10">
        <v>0</v>
      </c>
      <c r="C7" s="12">
        <f>1187-104+50</f>
        <v>1133</v>
      </c>
      <c r="D7" s="12">
        <v>110</v>
      </c>
      <c r="E7" s="21"/>
      <c r="F7" s="22" t="s">
        <v>54</v>
      </c>
      <c r="G7" s="22" t="s">
        <v>95</v>
      </c>
      <c r="H7" s="23">
        <v>750</v>
      </c>
      <c r="I7" s="2"/>
      <c r="K7" s="5"/>
      <c r="M7" s="9" t="s">
        <v>96</v>
      </c>
      <c r="N7" s="9" t="s">
        <v>51</v>
      </c>
      <c r="O7" s="29">
        <v>0.02</v>
      </c>
    </row>
    <row r="8" s="2" customFormat="1" spans="1:15">
      <c r="A8" s="9" t="s">
        <v>97</v>
      </c>
      <c r="B8" s="10">
        <v>0</v>
      </c>
      <c r="C8" s="11">
        <f>1398-125+50</f>
        <v>1323</v>
      </c>
      <c r="D8" s="11">
        <v>125</v>
      </c>
      <c r="E8" s="21"/>
      <c r="F8" s="22" t="s">
        <v>54</v>
      </c>
      <c r="G8" s="22" t="s">
        <v>98</v>
      </c>
      <c r="H8" s="23">
        <v>750</v>
      </c>
      <c r="I8" s="2"/>
      <c r="K8" s="5"/>
      <c r="M8" s="9" t="s">
        <v>99</v>
      </c>
      <c r="N8" s="9" t="s">
        <v>84</v>
      </c>
      <c r="O8" s="29">
        <v>0.01</v>
      </c>
    </row>
    <row r="9" s="2" customFormat="1" spans="1:15">
      <c r="A9" s="9" t="s">
        <v>100</v>
      </c>
      <c r="B9" s="10">
        <v>0</v>
      </c>
      <c r="C9" s="11">
        <f>1625-387+50</f>
        <v>1288</v>
      </c>
      <c r="D9" s="11">
        <v>397</v>
      </c>
      <c r="E9" s="2"/>
      <c r="F9" s="22" t="s">
        <v>70</v>
      </c>
      <c r="G9" s="22" t="s">
        <v>78</v>
      </c>
      <c r="H9" s="23">
        <v>325</v>
      </c>
      <c r="K9" s="5"/>
      <c r="M9" s="9" t="s">
        <v>101</v>
      </c>
      <c r="N9" s="9" t="s">
        <v>51</v>
      </c>
      <c r="O9" s="29">
        <v>0.02</v>
      </c>
    </row>
    <row r="10" s="2" customFormat="1" spans="1:15">
      <c r="A10" s="9" t="s">
        <v>102</v>
      </c>
      <c r="B10" s="10">
        <v>0</v>
      </c>
      <c r="C10" s="11">
        <f>1253+50</f>
        <v>1303</v>
      </c>
      <c r="D10" s="11">
        <v>200</v>
      </c>
      <c r="F10" s="22" t="s">
        <v>70</v>
      </c>
      <c r="G10" s="22" t="s">
        <v>83</v>
      </c>
      <c r="H10" s="23">
        <v>325</v>
      </c>
      <c r="K10" s="5"/>
      <c r="M10" s="9" t="s">
        <v>103</v>
      </c>
      <c r="N10" s="9" t="s">
        <v>51</v>
      </c>
      <c r="O10" s="29">
        <v>0.02</v>
      </c>
    </row>
    <row r="11" s="2" customFormat="1" spans="1:15">
      <c r="A11" s="13" t="s">
        <v>104</v>
      </c>
      <c r="B11" s="14">
        <v>0</v>
      </c>
      <c r="C11" s="12">
        <v>1148</v>
      </c>
      <c r="D11" s="12">
        <v>173</v>
      </c>
      <c r="E11" s="2"/>
      <c r="F11" s="22" t="s">
        <v>70</v>
      </c>
      <c r="G11" s="22" t="s">
        <v>52</v>
      </c>
      <c r="H11" s="23">
        <v>375</v>
      </c>
      <c r="K11" s="5"/>
      <c r="M11" s="9" t="s">
        <v>105</v>
      </c>
      <c r="N11" s="9" t="s">
        <v>79</v>
      </c>
      <c r="O11" s="29">
        <v>0.005</v>
      </c>
    </row>
    <row r="12" s="2" customFormat="1" spans="1:15">
      <c r="A12" s="9" t="s">
        <v>106</v>
      </c>
      <c r="B12" s="10">
        <v>0</v>
      </c>
      <c r="C12" s="12">
        <f>1124-116+50</f>
        <v>1058</v>
      </c>
      <c r="D12" s="12">
        <v>116</v>
      </c>
      <c r="E12" s="2"/>
      <c r="F12" s="22" t="s">
        <v>70</v>
      </c>
      <c r="G12" s="22" t="s">
        <v>89</v>
      </c>
      <c r="H12" s="23">
        <v>375</v>
      </c>
      <c r="K12" s="5"/>
      <c r="M12" s="9" t="s">
        <v>107</v>
      </c>
      <c r="N12" s="9" t="s">
        <v>81</v>
      </c>
      <c r="O12" s="29">
        <v>0.04</v>
      </c>
    </row>
    <row r="13" s="2" customFormat="1" spans="1:15">
      <c r="A13" s="9" t="s">
        <v>53</v>
      </c>
      <c r="B13" s="10">
        <v>0</v>
      </c>
      <c r="C13" s="12">
        <f>1268-111+50</f>
        <v>1207</v>
      </c>
      <c r="D13" s="12">
        <v>120</v>
      </c>
      <c r="E13" s="2"/>
      <c r="F13" s="22" t="s">
        <v>70</v>
      </c>
      <c r="G13" s="22" t="s">
        <v>92</v>
      </c>
      <c r="H13" s="23">
        <v>375</v>
      </c>
      <c r="K13" s="5"/>
      <c r="M13" s="9" t="s">
        <v>108</v>
      </c>
      <c r="N13" s="9" t="s">
        <v>84</v>
      </c>
      <c r="O13" s="29">
        <v>0.01</v>
      </c>
    </row>
    <row r="14" s="2" customFormat="1" spans="1:15">
      <c r="A14" s="9" t="s">
        <v>109</v>
      </c>
      <c r="B14" s="10">
        <v>0</v>
      </c>
      <c r="C14" s="12">
        <f>1214-105+50</f>
        <v>1159</v>
      </c>
      <c r="D14" s="12">
        <v>105</v>
      </c>
      <c r="E14" s="2"/>
      <c r="F14" s="22" t="s">
        <v>70</v>
      </c>
      <c r="G14" s="22" t="s">
        <v>95</v>
      </c>
      <c r="H14" s="23">
        <v>375</v>
      </c>
      <c r="K14" s="5"/>
      <c r="M14" s="9" t="s">
        <v>110</v>
      </c>
      <c r="N14" s="9" t="s">
        <v>79</v>
      </c>
      <c r="O14" s="29">
        <v>0.005</v>
      </c>
    </row>
    <row r="15" s="2" customFormat="1" spans="1:15">
      <c r="A15" s="9" t="s">
        <v>111</v>
      </c>
      <c r="B15" s="10">
        <v>0</v>
      </c>
      <c r="C15" s="12">
        <f>1304+50</f>
        <v>1354</v>
      </c>
      <c r="D15" s="12">
        <v>126</v>
      </c>
      <c r="E15" s="2"/>
      <c r="F15" s="22" t="s">
        <v>70</v>
      </c>
      <c r="G15" s="22" t="s">
        <v>98</v>
      </c>
      <c r="H15" s="23">
        <v>375</v>
      </c>
      <c r="K15" s="5"/>
      <c r="M15" s="9" t="s">
        <v>112</v>
      </c>
      <c r="N15" s="9" t="s">
        <v>81</v>
      </c>
      <c r="O15" s="29">
        <v>0.04</v>
      </c>
    </row>
    <row r="16" s="2" customFormat="1" spans="1:15">
      <c r="A16" s="9" t="s">
        <v>113</v>
      </c>
      <c r="B16" s="10">
        <v>0</v>
      </c>
      <c r="C16" s="12">
        <v>1299.23</v>
      </c>
      <c r="D16" s="12">
        <v>179</v>
      </c>
      <c r="E16" s="2"/>
      <c r="F16" s="4"/>
      <c r="G16" s="4"/>
      <c r="H16" s="2"/>
      <c r="K16" s="5"/>
      <c r="M16" s="9" t="s">
        <v>114</v>
      </c>
      <c r="N16" s="9" t="s">
        <v>51</v>
      </c>
      <c r="O16" s="29">
        <v>0.02</v>
      </c>
    </row>
    <row r="17" s="2" customFormat="1" spans="1:15">
      <c r="A17" s="15" t="s">
        <v>115</v>
      </c>
      <c r="B17" s="10">
        <v>0</v>
      </c>
      <c r="C17" s="12">
        <f>1088+50</f>
        <v>1138</v>
      </c>
      <c r="D17" s="12">
        <v>110</v>
      </c>
      <c r="E17" s="2"/>
      <c r="F17" s="4"/>
      <c r="G17" s="4"/>
      <c r="H17" s="2"/>
      <c r="K17" s="5"/>
      <c r="M17" s="9" t="s">
        <v>116</v>
      </c>
      <c r="N17" s="9" t="s">
        <v>81</v>
      </c>
      <c r="O17" s="29">
        <v>0.04</v>
      </c>
    </row>
    <row r="18" s="2" customFormat="1" spans="1:15">
      <c r="A18" s="15" t="s">
        <v>117</v>
      </c>
      <c r="B18" s="10">
        <v>0</v>
      </c>
      <c r="C18" s="12">
        <f>1138-130+50</f>
        <v>1058</v>
      </c>
      <c r="D18" s="12">
        <v>130</v>
      </c>
      <c r="F18" s="4"/>
      <c r="G18" s="4"/>
      <c r="H18" s="2"/>
      <c r="K18" s="5"/>
      <c r="M18" s="9" t="s">
        <v>118</v>
      </c>
      <c r="N18" s="9" t="s">
        <v>84</v>
      </c>
      <c r="O18" s="29">
        <v>0.01</v>
      </c>
    </row>
    <row r="19" s="2" customFormat="1" spans="1:15">
      <c r="A19" s="15" t="s">
        <v>119</v>
      </c>
      <c r="B19" s="10">
        <v>0</v>
      </c>
      <c r="C19" s="12">
        <v>1123</v>
      </c>
      <c r="D19" s="12">
        <v>239</v>
      </c>
      <c r="F19" s="4"/>
      <c r="G19" s="4"/>
      <c r="H19" s="2"/>
      <c r="K19" s="5"/>
      <c r="M19" s="9" t="s">
        <v>120</v>
      </c>
      <c r="N19" s="9" t="s">
        <v>51</v>
      </c>
      <c r="O19" s="29">
        <v>0.02</v>
      </c>
    </row>
    <row r="20" s="2" customFormat="1" ht="16" customHeight="1" spans="1:15">
      <c r="A20" s="15" t="s">
        <v>121</v>
      </c>
      <c r="B20" s="10">
        <v>0</v>
      </c>
      <c r="C20" s="12">
        <f>1220.9+59</f>
        <v>1279.9</v>
      </c>
      <c r="D20" s="12">
        <v>299</v>
      </c>
      <c r="F20" s="4"/>
      <c r="G20" s="4"/>
      <c r="H20" s="2"/>
      <c r="K20" s="5"/>
      <c r="M20" s="9" t="s">
        <v>122</v>
      </c>
      <c r="N20" s="9" t="s">
        <v>84</v>
      </c>
      <c r="O20" s="29">
        <v>0.01</v>
      </c>
    </row>
    <row r="21" s="2" customFormat="1" spans="1:15">
      <c r="A21" s="15" t="s">
        <v>123</v>
      </c>
      <c r="B21" s="10">
        <v>0</v>
      </c>
      <c r="C21" s="12">
        <v>1371</v>
      </c>
      <c r="D21" s="12">
        <v>125</v>
      </c>
      <c r="F21" s="4"/>
      <c r="G21" s="4"/>
      <c r="H21" s="2"/>
      <c r="K21" s="5"/>
      <c r="M21" s="9" t="s">
        <v>124</v>
      </c>
      <c r="N21" s="9" t="s">
        <v>81</v>
      </c>
      <c r="O21" s="29">
        <v>0.04</v>
      </c>
    </row>
    <row r="22" s="2" customFormat="1" spans="1:15">
      <c r="A22" s="15" t="s">
        <v>125</v>
      </c>
      <c r="B22" s="10">
        <v>0</v>
      </c>
      <c r="C22" s="12">
        <f>1287+50</f>
        <v>1337</v>
      </c>
      <c r="D22" s="12">
        <v>203</v>
      </c>
      <c r="F22" s="4"/>
      <c r="G22" s="4"/>
      <c r="K22" s="5"/>
      <c r="M22" s="9" t="s">
        <v>126</v>
      </c>
      <c r="N22" s="9" t="s">
        <v>51</v>
      </c>
      <c r="O22" s="29">
        <v>0.02</v>
      </c>
    </row>
    <row r="23" s="2" customFormat="1" spans="1:15">
      <c r="A23" s="15" t="s">
        <v>127</v>
      </c>
      <c r="B23" s="10">
        <v>0</v>
      </c>
      <c r="C23" s="12">
        <f>1384-242+50</f>
        <v>1192</v>
      </c>
      <c r="D23" s="12">
        <v>264</v>
      </c>
      <c r="F23" s="4"/>
      <c r="G23" s="4"/>
      <c r="K23" s="5"/>
      <c r="M23" s="9" t="s">
        <v>128</v>
      </c>
      <c r="N23" s="9" t="s">
        <v>84</v>
      </c>
      <c r="O23" s="29">
        <v>0.01</v>
      </c>
    </row>
    <row r="24" s="2" customFormat="1" spans="1:15">
      <c r="A24" s="15" t="s">
        <v>129</v>
      </c>
      <c r="B24" s="10">
        <v>0</v>
      </c>
      <c r="C24" s="12">
        <v>1116</v>
      </c>
      <c r="D24" s="12">
        <v>108</v>
      </c>
      <c r="F24" s="4"/>
      <c r="G24" s="4"/>
      <c r="K24" s="5"/>
      <c r="M24" s="9" t="s">
        <v>130</v>
      </c>
      <c r="N24" s="9" t="s">
        <v>84</v>
      </c>
      <c r="O24" s="29">
        <v>0.01</v>
      </c>
    </row>
    <row r="25" s="2" customFormat="1" spans="1:15">
      <c r="A25" s="15" t="s">
        <v>131</v>
      </c>
      <c r="B25" s="10">
        <v>0</v>
      </c>
      <c r="C25" s="12">
        <v>1246</v>
      </c>
      <c r="D25" s="12">
        <v>117</v>
      </c>
      <c r="F25" s="4"/>
      <c r="G25" s="4"/>
      <c r="K25" s="5"/>
      <c r="M25" s="9" t="s">
        <v>132</v>
      </c>
      <c r="N25" s="9" t="s">
        <v>81</v>
      </c>
      <c r="O25" s="29">
        <v>0.04</v>
      </c>
    </row>
    <row r="26" s="2" customFormat="1" spans="1:15">
      <c r="A26" s="15" t="s">
        <v>133</v>
      </c>
      <c r="B26" s="10">
        <v>0</v>
      </c>
      <c r="C26" s="12">
        <f>1142-168+50</f>
        <v>1024</v>
      </c>
      <c r="D26" s="12">
        <v>168</v>
      </c>
      <c r="F26" s="4"/>
      <c r="G26" s="4"/>
      <c r="K26" s="5"/>
      <c r="M26" s="9" t="s">
        <v>134</v>
      </c>
      <c r="N26" s="9" t="s">
        <v>51</v>
      </c>
      <c r="O26" s="29">
        <v>0.02</v>
      </c>
    </row>
    <row r="27" s="2" customFormat="1" spans="1:15">
      <c r="A27" s="15" t="s">
        <v>135</v>
      </c>
      <c r="B27" s="10">
        <v>0</v>
      </c>
      <c r="C27" s="12">
        <f>1077.45+50</f>
        <v>1127.45</v>
      </c>
      <c r="D27" s="12">
        <v>100</v>
      </c>
      <c r="F27" s="4"/>
      <c r="G27" s="4"/>
      <c r="K27" s="5"/>
      <c r="M27" s="9" t="s">
        <v>136</v>
      </c>
      <c r="N27" s="9" t="s">
        <v>51</v>
      </c>
      <c r="O27" s="29">
        <v>0.02</v>
      </c>
    </row>
    <row r="28" s="2" customFormat="1" spans="1:15">
      <c r="A28" s="15" t="s">
        <v>137</v>
      </c>
      <c r="B28" s="10">
        <v>0</v>
      </c>
      <c r="C28" s="12">
        <f>1049+50</f>
        <v>1099</v>
      </c>
      <c r="D28" s="12">
        <v>181</v>
      </c>
      <c r="F28" s="4"/>
      <c r="G28" s="4"/>
      <c r="K28" s="5"/>
      <c r="M28" s="9" t="s">
        <v>138</v>
      </c>
      <c r="N28" s="9" t="s">
        <v>84</v>
      </c>
      <c r="O28" s="29">
        <v>0.01</v>
      </c>
    </row>
    <row r="29" s="2" customFormat="1" spans="1:15">
      <c r="A29" s="15" t="s">
        <v>139</v>
      </c>
      <c r="B29" s="10">
        <v>0</v>
      </c>
      <c r="C29" s="12">
        <f>1500-125+50</f>
        <v>1425</v>
      </c>
      <c r="D29" s="12">
        <v>125</v>
      </c>
      <c r="F29" s="4"/>
      <c r="G29" s="4"/>
      <c r="K29" s="5"/>
      <c r="M29" s="9" t="s">
        <v>140</v>
      </c>
      <c r="N29" s="9" t="s">
        <v>51</v>
      </c>
      <c r="O29" s="29">
        <v>0.02</v>
      </c>
    </row>
    <row r="30" s="2" customFormat="1" spans="1:15">
      <c r="A30" s="15" t="s">
        <v>141</v>
      </c>
      <c r="B30" s="10">
        <v>0</v>
      </c>
      <c r="C30" s="12">
        <f>1320.71+50</f>
        <v>1370.71</v>
      </c>
      <c r="D30" s="12">
        <v>117</v>
      </c>
      <c r="F30" s="4"/>
      <c r="G30" s="4"/>
      <c r="K30" s="5"/>
      <c r="M30" s="9" t="s">
        <v>142</v>
      </c>
      <c r="N30" s="9" t="s">
        <v>51</v>
      </c>
      <c r="O30" s="29">
        <v>0.02</v>
      </c>
    </row>
    <row r="31" s="2" customFormat="1" spans="1:15">
      <c r="A31" s="15" t="s">
        <v>143</v>
      </c>
      <c r="B31" s="10">
        <v>0</v>
      </c>
      <c r="C31" s="12">
        <f>1148-109+50</f>
        <v>1089</v>
      </c>
      <c r="D31" s="12">
        <v>109</v>
      </c>
      <c r="F31" s="4"/>
      <c r="G31" s="4"/>
      <c r="K31" s="5"/>
      <c r="M31" s="9" t="s">
        <v>59</v>
      </c>
      <c r="N31" s="9" t="s">
        <v>84</v>
      </c>
      <c r="O31" s="29">
        <v>0.01</v>
      </c>
    </row>
    <row r="32" s="2" customFormat="1" spans="1:15">
      <c r="A32" s="15" t="s">
        <v>144</v>
      </c>
      <c r="B32" s="10">
        <v>0</v>
      </c>
      <c r="C32" s="12">
        <v>1425</v>
      </c>
      <c r="D32" s="12">
        <v>107</v>
      </c>
      <c r="F32" s="4"/>
      <c r="G32" s="4"/>
      <c r="K32" s="5"/>
      <c r="M32" s="9" t="s">
        <v>145</v>
      </c>
      <c r="N32" s="9" t="s">
        <v>84</v>
      </c>
      <c r="O32" s="29">
        <v>0.01</v>
      </c>
    </row>
    <row r="33" s="2" customFormat="1" spans="1:15">
      <c r="A33" s="15" t="s">
        <v>146</v>
      </c>
      <c r="B33" s="10">
        <v>0</v>
      </c>
      <c r="C33" s="12">
        <v>1303.55</v>
      </c>
      <c r="D33" s="12">
        <v>99</v>
      </c>
      <c r="F33" s="4"/>
      <c r="G33" s="4"/>
      <c r="K33" s="5"/>
      <c r="M33" s="9" t="s">
        <v>147</v>
      </c>
      <c r="N33" s="9" t="s">
        <v>81</v>
      </c>
      <c r="O33" s="29">
        <v>0.04</v>
      </c>
    </row>
    <row r="34" s="2" customFormat="1" spans="1:15">
      <c r="A34" s="15" t="s">
        <v>148</v>
      </c>
      <c r="B34" s="10">
        <v>0</v>
      </c>
      <c r="C34" s="12">
        <v>1070.5</v>
      </c>
      <c r="D34" s="12">
        <v>98</v>
      </c>
      <c r="F34" s="4"/>
      <c r="G34" s="4"/>
      <c r="K34" s="5"/>
      <c r="M34" s="9" t="s">
        <v>149</v>
      </c>
      <c r="N34" s="9" t="s">
        <v>51</v>
      </c>
      <c r="O34" s="29">
        <v>0.02</v>
      </c>
    </row>
    <row r="35" s="2" customFormat="1" spans="1:15">
      <c r="A35" s="15" t="s">
        <v>150</v>
      </c>
      <c r="B35" s="10">
        <v>0</v>
      </c>
      <c r="C35" s="12">
        <f>1118+50</f>
        <v>1168</v>
      </c>
      <c r="D35" s="12">
        <v>96</v>
      </c>
      <c r="F35" s="4"/>
      <c r="G35" s="4"/>
      <c r="K35" s="5"/>
      <c r="M35" s="9" t="s">
        <v>151</v>
      </c>
      <c r="N35" s="9" t="s">
        <v>84</v>
      </c>
      <c r="O35" s="29">
        <v>0.01</v>
      </c>
    </row>
    <row r="36" s="2" customFormat="1" spans="1:15">
      <c r="A36" s="15" t="s">
        <v>152</v>
      </c>
      <c r="B36" s="10">
        <v>0</v>
      </c>
      <c r="C36" s="12">
        <f>1636-162+50</f>
        <v>1524</v>
      </c>
      <c r="D36" s="12">
        <v>162</v>
      </c>
      <c r="F36" s="4"/>
      <c r="G36" s="4"/>
      <c r="K36" s="5"/>
      <c r="M36" s="9" t="s">
        <v>153</v>
      </c>
      <c r="N36" s="9" t="s">
        <v>79</v>
      </c>
      <c r="O36" s="29">
        <v>0.005</v>
      </c>
    </row>
    <row r="37" s="2" customFormat="1" spans="1:15">
      <c r="A37" s="15" t="s">
        <v>154</v>
      </c>
      <c r="B37" s="10">
        <v>0</v>
      </c>
      <c r="C37" s="12">
        <v>1334.74</v>
      </c>
      <c r="D37" s="12">
        <v>85</v>
      </c>
      <c r="F37" s="4"/>
      <c r="G37" s="4"/>
      <c r="K37" s="5"/>
      <c r="M37" s="9" t="s">
        <v>155</v>
      </c>
      <c r="N37" s="9" t="s">
        <v>51</v>
      </c>
      <c r="O37" s="29">
        <v>0.02</v>
      </c>
    </row>
    <row r="38" s="2" customFormat="1" spans="1:15">
      <c r="A38" s="15" t="s">
        <v>156</v>
      </c>
      <c r="B38" s="10">
        <v>0</v>
      </c>
      <c r="C38" s="12">
        <f>998+50</f>
        <v>1048</v>
      </c>
      <c r="D38" s="12">
        <v>287</v>
      </c>
      <c r="F38" s="4"/>
      <c r="G38" s="4"/>
      <c r="K38" s="5"/>
      <c r="M38" s="9" t="s">
        <v>157</v>
      </c>
      <c r="N38" s="9" t="s">
        <v>79</v>
      </c>
      <c r="O38" s="29">
        <v>0.005</v>
      </c>
    </row>
    <row r="39" s="2" customFormat="1" spans="1:15">
      <c r="A39" s="15" t="s">
        <v>158</v>
      </c>
      <c r="B39" s="10">
        <v>0</v>
      </c>
      <c r="C39" s="12">
        <f>1200-176+50</f>
        <v>1074</v>
      </c>
      <c r="D39" s="12">
        <v>176</v>
      </c>
      <c r="F39" s="4"/>
      <c r="G39" s="4"/>
      <c r="K39" s="5"/>
      <c r="M39" s="9" t="s">
        <v>159</v>
      </c>
      <c r="N39" s="9" t="s">
        <v>51</v>
      </c>
      <c r="O39" s="29">
        <v>0.02</v>
      </c>
    </row>
    <row r="40" s="2" customFormat="1" spans="1:15">
      <c r="A40" s="15" t="s">
        <v>160</v>
      </c>
      <c r="B40" s="10">
        <v>0</v>
      </c>
      <c r="C40" s="12">
        <v>1176.9</v>
      </c>
      <c r="D40" s="12">
        <v>110</v>
      </c>
      <c r="F40" s="4"/>
      <c r="G40" s="4"/>
      <c r="K40" s="5"/>
      <c r="M40" s="9" t="s">
        <v>161</v>
      </c>
      <c r="N40" s="9" t="s">
        <v>51</v>
      </c>
      <c r="O40" s="29">
        <v>0.02</v>
      </c>
    </row>
    <row r="41" s="2" customFormat="1" spans="1:15">
      <c r="A41" s="15" t="s">
        <v>162</v>
      </c>
      <c r="B41" s="10">
        <v>0</v>
      </c>
      <c r="C41" s="12">
        <f>1155.86+50</f>
        <v>1205.86</v>
      </c>
      <c r="D41" s="12">
        <v>110.5</v>
      </c>
      <c r="F41" s="4"/>
      <c r="G41" s="4"/>
      <c r="K41" s="5"/>
      <c r="M41" s="9" t="s">
        <v>163</v>
      </c>
      <c r="N41" s="9" t="s">
        <v>51</v>
      </c>
      <c r="O41" s="29">
        <v>0.02</v>
      </c>
    </row>
    <row r="42" s="2" customFormat="1" spans="1:15">
      <c r="A42" s="15" t="s">
        <v>164</v>
      </c>
      <c r="B42" s="10">
        <v>0</v>
      </c>
      <c r="C42" s="12">
        <v>1409.9</v>
      </c>
      <c r="D42" s="12">
        <v>96</v>
      </c>
      <c r="F42" s="4"/>
      <c r="G42" s="4"/>
      <c r="K42" s="5"/>
      <c r="M42" s="9" t="s">
        <v>165</v>
      </c>
      <c r="N42" s="9" t="s">
        <v>51</v>
      </c>
      <c r="O42" s="29">
        <v>0.02</v>
      </c>
    </row>
    <row r="43" s="2" customFormat="1" spans="1:15">
      <c r="A43" s="9" t="s">
        <v>166</v>
      </c>
      <c r="B43" s="10">
        <v>0</v>
      </c>
      <c r="C43" s="12">
        <v>1177.04</v>
      </c>
      <c r="D43" s="12">
        <v>98</v>
      </c>
      <c r="F43" s="4"/>
      <c r="G43" s="4"/>
      <c r="K43" s="5"/>
      <c r="M43" s="9" t="s">
        <v>167</v>
      </c>
      <c r="N43" s="9" t="s">
        <v>51</v>
      </c>
      <c r="O43" s="29">
        <v>0.02</v>
      </c>
    </row>
    <row r="44" s="2" customFormat="1" spans="1:15">
      <c r="A44" s="9" t="s">
        <v>168</v>
      </c>
      <c r="B44" s="10">
        <v>0</v>
      </c>
      <c r="C44" s="12">
        <v>1077.44</v>
      </c>
      <c r="D44" s="12">
        <v>88</v>
      </c>
      <c r="F44" s="4"/>
      <c r="G44" s="4"/>
      <c r="K44" s="5"/>
      <c r="M44" s="9" t="s">
        <v>169</v>
      </c>
      <c r="N44" s="9" t="s">
        <v>84</v>
      </c>
      <c r="O44" s="29">
        <v>0.01</v>
      </c>
    </row>
    <row r="45" s="2" customFormat="1" spans="1:15">
      <c r="A45" s="9" t="s">
        <v>170</v>
      </c>
      <c r="B45" s="10">
        <v>0</v>
      </c>
      <c r="C45" s="12">
        <v>1111.72</v>
      </c>
      <c r="D45" s="12">
        <v>104</v>
      </c>
      <c r="F45" s="4"/>
      <c r="G45" s="4"/>
      <c r="K45" s="5"/>
      <c r="M45" s="9" t="s">
        <v>67</v>
      </c>
      <c r="N45" s="9" t="s">
        <v>51</v>
      </c>
      <c r="O45" s="29">
        <v>0.02</v>
      </c>
    </row>
    <row r="46" s="2" customFormat="1" spans="1:15">
      <c r="A46" s="9" t="s">
        <v>171</v>
      </c>
      <c r="B46" s="10">
        <v>0</v>
      </c>
      <c r="C46" s="12">
        <v>1327</v>
      </c>
      <c r="D46" s="12">
        <v>132</v>
      </c>
      <c r="F46" s="4"/>
      <c r="G46" s="4"/>
      <c r="K46" s="5"/>
      <c r="M46" s="9" t="s">
        <v>172</v>
      </c>
      <c r="N46" s="9" t="s">
        <v>51</v>
      </c>
      <c r="O46" s="29">
        <v>0.02</v>
      </c>
    </row>
    <row r="47" s="2" customFormat="1" spans="1:15">
      <c r="A47" s="9" t="s">
        <v>173</v>
      </c>
      <c r="B47" s="10">
        <v>0</v>
      </c>
      <c r="C47" s="12">
        <f>1441+50</f>
        <v>1491</v>
      </c>
      <c r="D47" s="12">
        <v>135</v>
      </c>
      <c r="F47" s="4"/>
      <c r="G47" s="4"/>
      <c r="K47" s="5"/>
      <c r="M47" s="9" t="s">
        <v>174</v>
      </c>
      <c r="N47" s="9" t="s">
        <v>79</v>
      </c>
      <c r="O47" s="29">
        <v>0.005</v>
      </c>
    </row>
    <row r="48" s="2" customFormat="1" spans="1:15">
      <c r="A48" s="9" t="s">
        <v>175</v>
      </c>
      <c r="B48" s="10">
        <v>0</v>
      </c>
      <c r="C48" s="12">
        <f>1280+50</f>
        <v>1330</v>
      </c>
      <c r="D48" s="12">
        <v>115</v>
      </c>
      <c r="F48" s="4"/>
      <c r="G48" s="4"/>
      <c r="K48" s="5"/>
      <c r="M48" s="9" t="s">
        <v>176</v>
      </c>
      <c r="N48" s="9" t="s">
        <v>79</v>
      </c>
      <c r="O48" s="29">
        <v>0.005</v>
      </c>
    </row>
    <row r="49" s="2" customFormat="1" spans="1:15">
      <c r="A49" s="15" t="s">
        <v>177</v>
      </c>
      <c r="B49" s="10">
        <v>0</v>
      </c>
      <c r="C49" s="12">
        <f>1128+50</f>
        <v>1178</v>
      </c>
      <c r="D49" s="12">
        <v>110</v>
      </c>
      <c r="F49" s="4"/>
      <c r="G49" s="4"/>
      <c r="K49" s="5"/>
      <c r="M49" s="9" t="s">
        <v>178</v>
      </c>
      <c r="N49" s="9" t="s">
        <v>51</v>
      </c>
      <c r="O49" s="29">
        <v>0.02</v>
      </c>
    </row>
    <row r="50" s="2" customFormat="1" spans="1:15">
      <c r="A50" s="15" t="s">
        <v>179</v>
      </c>
      <c r="B50" s="10">
        <v>0</v>
      </c>
      <c r="C50" s="12">
        <f>1093+50</f>
        <v>1143</v>
      </c>
      <c r="D50" s="12">
        <v>95</v>
      </c>
      <c r="F50" s="4"/>
      <c r="G50" s="4"/>
      <c r="K50" s="5"/>
      <c r="M50" s="9" t="s">
        <v>180</v>
      </c>
      <c r="N50" s="9" t="s">
        <v>51</v>
      </c>
      <c r="O50" s="29">
        <v>0.02</v>
      </c>
    </row>
    <row r="51" s="2" customFormat="1" spans="1:15">
      <c r="A51" s="15" t="s">
        <v>69</v>
      </c>
      <c r="B51" s="10">
        <v>0</v>
      </c>
      <c r="C51" s="12">
        <v>0</v>
      </c>
      <c r="D51" s="12">
        <v>0</v>
      </c>
      <c r="F51" s="4"/>
      <c r="G51" s="4"/>
      <c r="K51" s="5"/>
      <c r="M51" s="9" t="s">
        <v>181</v>
      </c>
      <c r="N51" s="9" t="s">
        <v>51</v>
      </c>
      <c r="O51" s="29">
        <v>0.02</v>
      </c>
    </row>
    <row r="52" s="2" customFormat="1" spans="1:15">
      <c r="A52" s="15" t="s">
        <v>182</v>
      </c>
      <c r="B52" s="10">
        <v>0</v>
      </c>
      <c r="C52" s="12">
        <v>0</v>
      </c>
      <c r="D52" s="12">
        <v>0</v>
      </c>
      <c r="F52" s="4"/>
      <c r="G52" s="4"/>
      <c r="K52" s="5"/>
      <c r="M52" s="9" t="s">
        <v>183</v>
      </c>
      <c r="N52" s="9" t="s">
        <v>84</v>
      </c>
      <c r="O52" s="29">
        <v>0.01</v>
      </c>
    </row>
    <row r="53" s="2" customFormat="1" spans="2:15">
      <c r="B53" s="1"/>
      <c r="C53" s="3"/>
      <c r="D53" s="3"/>
      <c r="F53" s="4"/>
      <c r="G53" s="4"/>
      <c r="K53" s="5"/>
      <c r="M53" s="9" t="s">
        <v>184</v>
      </c>
      <c r="N53" s="9" t="s">
        <v>84</v>
      </c>
      <c r="O53" s="29">
        <v>0.01</v>
      </c>
    </row>
    <row r="54" s="2" customFormat="1" spans="2:15">
      <c r="B54" s="1"/>
      <c r="C54" s="3"/>
      <c r="D54" s="3"/>
      <c r="F54" s="4"/>
      <c r="G54" s="4"/>
      <c r="K54" s="5"/>
      <c r="M54" s="9" t="s">
        <v>185</v>
      </c>
      <c r="N54" s="9" t="s">
        <v>84</v>
      </c>
      <c r="O54" s="29">
        <v>0.01</v>
      </c>
    </row>
    <row r="55" s="2" customFormat="1" spans="2:15">
      <c r="B55" s="1"/>
      <c r="C55" s="3"/>
      <c r="D55" s="3"/>
      <c r="F55" s="4"/>
      <c r="G55" s="4"/>
      <c r="K55" s="5"/>
      <c r="M55" s="9" t="s">
        <v>186</v>
      </c>
      <c r="N55" s="9" t="s">
        <v>51</v>
      </c>
      <c r="O55" s="29">
        <v>0.02</v>
      </c>
    </row>
    <row r="56" s="2" customFormat="1" spans="2:15">
      <c r="B56" s="1"/>
      <c r="C56" s="3"/>
      <c r="D56" s="3"/>
      <c r="F56" s="4"/>
      <c r="G56" s="4"/>
      <c r="K56" s="5"/>
      <c r="M56" s="9" t="s">
        <v>187</v>
      </c>
      <c r="N56" s="9" t="s">
        <v>84</v>
      </c>
      <c r="O56" s="29">
        <v>0.01</v>
      </c>
    </row>
    <row r="57" s="2" customFormat="1" spans="1:15">
      <c r="A57" s="16" t="s">
        <v>188</v>
      </c>
      <c r="B57" s="1"/>
      <c r="C57" s="3"/>
      <c r="D57" s="3"/>
      <c r="F57" s="4"/>
      <c r="G57" s="4"/>
      <c r="K57" s="5"/>
      <c r="M57" s="9" t="s">
        <v>189</v>
      </c>
      <c r="N57" s="9" t="s">
        <v>51</v>
      </c>
      <c r="O57" s="29">
        <v>0.02</v>
      </c>
    </row>
    <row r="58" s="2" customFormat="1" spans="1:15">
      <c r="A58" s="16" t="s">
        <v>190</v>
      </c>
      <c r="B58" s="1"/>
      <c r="C58" s="3"/>
      <c r="D58" s="3"/>
      <c r="F58" s="4"/>
      <c r="G58" s="4"/>
      <c r="K58" s="5"/>
      <c r="M58" s="9" t="s">
        <v>191</v>
      </c>
      <c r="N58" s="9" t="s">
        <v>79</v>
      </c>
      <c r="O58" s="29">
        <v>0.005</v>
      </c>
    </row>
    <row r="59" s="2" customFormat="1" spans="1:15">
      <c r="A59" s="16" t="s">
        <v>192</v>
      </c>
      <c r="B59" s="1"/>
      <c r="C59" s="3"/>
      <c r="D59" s="3"/>
      <c r="F59" s="4"/>
      <c r="G59" s="4"/>
      <c r="K59" s="5"/>
      <c r="M59" s="9" t="s">
        <v>193</v>
      </c>
      <c r="N59" s="9" t="s">
        <v>79</v>
      </c>
      <c r="O59" s="29">
        <v>0.005</v>
      </c>
    </row>
    <row r="60" s="2" customFormat="1" spans="1:15">
      <c r="A60" s="16" t="s">
        <v>194</v>
      </c>
      <c r="B60" s="1"/>
      <c r="C60" s="3"/>
      <c r="D60" s="3"/>
      <c r="F60" s="4"/>
      <c r="G60" s="4"/>
      <c r="K60" s="5"/>
      <c r="M60" s="9" t="s">
        <v>195</v>
      </c>
      <c r="N60" s="9" t="s">
        <v>81</v>
      </c>
      <c r="O60" s="29">
        <v>0.04</v>
      </c>
    </row>
    <row r="61" s="2" customFormat="1" spans="2:15">
      <c r="B61" s="1"/>
      <c r="C61" s="3"/>
      <c r="D61" s="3"/>
      <c r="F61" s="4"/>
      <c r="G61" s="4"/>
      <c r="K61" s="5"/>
      <c r="M61" s="9" t="s">
        <v>196</v>
      </c>
      <c r="N61" s="9" t="s">
        <v>79</v>
      </c>
      <c r="O61" s="29">
        <v>0.005</v>
      </c>
    </row>
    <row r="62" s="2" customFormat="1" spans="1:15">
      <c r="A62" s="17" t="s">
        <v>197</v>
      </c>
      <c r="B62" s="18"/>
      <c r="C62" s="18"/>
      <c r="D62" s="18"/>
      <c r="E62" s="18"/>
      <c r="F62" s="18"/>
      <c r="G62" s="4"/>
      <c r="K62" s="5"/>
      <c r="M62" s="9" t="s">
        <v>198</v>
      </c>
      <c r="N62" s="9" t="s">
        <v>51</v>
      </c>
      <c r="O62" s="29">
        <v>0.02</v>
      </c>
    </row>
    <row r="63" s="2" customFormat="1" spans="1:15">
      <c r="A63" s="18"/>
      <c r="B63" s="18"/>
      <c r="C63" s="18"/>
      <c r="D63" s="18"/>
      <c r="E63" s="18"/>
      <c r="F63" s="18"/>
      <c r="G63" s="4"/>
      <c r="K63" s="5"/>
      <c r="M63" s="9" t="s">
        <v>199</v>
      </c>
      <c r="N63" s="9" t="s">
        <v>84</v>
      </c>
      <c r="O63" s="29">
        <v>0.01</v>
      </c>
    </row>
    <row r="64" s="2" customFormat="1" spans="2:15">
      <c r="B64" s="1"/>
      <c r="C64" s="3"/>
      <c r="D64" s="3"/>
      <c r="F64" s="4"/>
      <c r="G64" s="4"/>
      <c r="K64" s="5"/>
      <c r="M64" s="9" t="s">
        <v>200</v>
      </c>
      <c r="N64" s="9" t="s">
        <v>84</v>
      </c>
      <c r="O64" s="29">
        <v>0.01</v>
      </c>
    </row>
    <row r="65" s="2" customFormat="1" spans="2:15">
      <c r="B65" s="1"/>
      <c r="C65" s="3"/>
      <c r="D65" s="3"/>
      <c r="F65" s="4"/>
      <c r="G65" s="4"/>
      <c r="K65" s="5"/>
      <c r="M65" s="9" t="s">
        <v>201</v>
      </c>
      <c r="N65" s="9" t="s">
        <v>84</v>
      </c>
      <c r="O65" s="29">
        <v>0.01</v>
      </c>
    </row>
    <row r="66" s="2" customFormat="1" spans="2:15">
      <c r="B66" s="1"/>
      <c r="C66" s="3"/>
      <c r="D66" s="3"/>
      <c r="F66" s="4"/>
      <c r="G66" s="4"/>
      <c r="K66" s="5"/>
      <c r="M66" s="9" t="s">
        <v>202</v>
      </c>
      <c r="N66" s="9" t="s">
        <v>51</v>
      </c>
      <c r="O66" s="29">
        <v>0.02</v>
      </c>
    </row>
    <row r="67" s="2" customFormat="1" spans="2:15">
      <c r="B67" s="1"/>
      <c r="C67" s="3"/>
      <c r="D67" s="3"/>
      <c r="F67" s="4"/>
      <c r="G67" s="4"/>
      <c r="K67" s="5"/>
      <c r="M67" s="9" t="s">
        <v>203</v>
      </c>
      <c r="N67" s="9" t="s">
        <v>51</v>
      </c>
      <c r="O67" s="29">
        <v>0.02</v>
      </c>
    </row>
    <row r="68" s="2" customFormat="1" spans="2:15">
      <c r="B68" s="1"/>
      <c r="C68" s="3"/>
      <c r="D68" s="3"/>
      <c r="F68" s="4"/>
      <c r="G68" s="4"/>
      <c r="K68" s="5"/>
      <c r="M68" s="9" t="s">
        <v>204</v>
      </c>
      <c r="N68" s="9" t="s">
        <v>81</v>
      </c>
      <c r="O68" s="29">
        <v>0.04</v>
      </c>
    </row>
    <row r="69" s="2" customFormat="1" spans="2:15">
      <c r="B69" s="1"/>
      <c r="C69" s="3"/>
      <c r="D69" s="3"/>
      <c r="F69" s="4"/>
      <c r="G69" s="4"/>
      <c r="K69" s="5"/>
      <c r="M69" s="9" t="s">
        <v>205</v>
      </c>
      <c r="N69" s="9" t="s">
        <v>51</v>
      </c>
      <c r="O69" s="29">
        <v>0.02</v>
      </c>
    </row>
    <row r="70" s="2" customFormat="1" spans="2:15">
      <c r="B70" s="1"/>
      <c r="C70" s="3"/>
      <c r="D70" s="3"/>
      <c r="F70" s="4"/>
      <c r="G70" s="4"/>
      <c r="K70" s="5"/>
      <c r="M70" s="9" t="s">
        <v>206</v>
      </c>
      <c r="N70" s="9" t="s">
        <v>79</v>
      </c>
      <c r="O70" s="29">
        <v>0.005</v>
      </c>
    </row>
    <row r="71" s="2" customFormat="1" spans="2:15">
      <c r="B71" s="1"/>
      <c r="C71" s="3"/>
      <c r="D71" s="3"/>
      <c r="F71" s="4"/>
      <c r="G71" s="4"/>
      <c r="K71" s="5"/>
      <c r="M71" s="9" t="s">
        <v>207</v>
      </c>
      <c r="N71" s="9" t="s">
        <v>51</v>
      </c>
      <c r="O71" s="29">
        <v>0.02</v>
      </c>
    </row>
    <row r="72" s="2" customFormat="1" spans="2:15">
      <c r="B72" s="1"/>
      <c r="C72" s="3"/>
      <c r="D72" s="3"/>
      <c r="F72" s="4"/>
      <c r="G72" s="4"/>
      <c r="K72" s="5"/>
      <c r="M72" s="9" t="s">
        <v>208</v>
      </c>
      <c r="N72" s="9" t="s">
        <v>84</v>
      </c>
      <c r="O72" s="29">
        <v>0.01</v>
      </c>
    </row>
  </sheetData>
  <mergeCells count="1">
    <mergeCell ref="A62:E6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上海入项审批测算表 2603M</vt:lpstr>
      <vt:lpstr>配置项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wingtech</dc:creator>
  <cp:lastModifiedBy>Rocky</cp:lastModifiedBy>
  <dcterms:created xsi:type="dcterms:W3CDTF">2023-05-13T03:15:00Z</dcterms:created>
  <dcterms:modified xsi:type="dcterms:W3CDTF">2026-05-28T18:19:36Z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2052-6.14.0.8924</vt:lpwstr>
  </property>
  <property fmtid="{D5CDD505-2E9C-101B-9397-08002B2CF9AE}" pid="3" name="ICV">
    <vt:lpwstr>2EAAE11F56FDCFA9B816186A91B0AF2C_43</vt:lpwstr>
  </property>
  <property fmtid="{D5CDD505-2E9C-101B-9397-08002B2CF9AE}" pid="4" name="CalculationRule">
    <vt:i4>0</vt:i4>
  </property>
</Properties>
</file>